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enhoyos/Downloads/"/>
    </mc:Choice>
  </mc:AlternateContent>
  <xr:revisionPtr revIDLastSave="0" documentId="13_ncr:1_{94E21580-8F2B-414C-A3D6-7DB1D860BD4E}" xr6:coauthVersionLast="47" xr6:coauthVersionMax="47" xr10:uidLastSave="{00000000-0000-0000-0000-000000000000}"/>
  <bookViews>
    <workbookView xWindow="0" yWindow="500" windowWidth="28800" windowHeight="16260" activeTab="4" xr2:uid="{8C2D8BBB-5682-4C82-96FF-9C216D1CD64D}"/>
  </bookViews>
  <sheets>
    <sheet name="Performance LD" sheetId="3" r:id="rId1"/>
    <sheet name="Schedule LD" sheetId="4" r:id="rId2"/>
    <sheet name="Residual" sheetId="5" r:id="rId3"/>
    <sheet name="CCGT Model " sheetId="1" r:id="rId4"/>
    <sheet name="Case Study Base Data" sheetId="2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" i="5" l="1"/>
  <c r="Q97" i="5"/>
  <c r="Q244" i="5"/>
  <c r="P244" i="5"/>
  <c r="O244" i="5"/>
  <c r="N244" i="5"/>
  <c r="M244" i="5"/>
  <c r="L244" i="5"/>
  <c r="K244" i="5"/>
  <c r="J244" i="5"/>
  <c r="I244" i="5"/>
  <c r="H244" i="5"/>
  <c r="Q242" i="5"/>
  <c r="Q245" i="5" s="1"/>
  <c r="P242" i="5"/>
  <c r="O242" i="5"/>
  <c r="O245" i="5" s="1"/>
  <c r="N242" i="5"/>
  <c r="O214" i="5"/>
  <c r="Q211" i="5"/>
  <c r="Q221" i="5" s="1"/>
  <c r="P211" i="5"/>
  <c r="P221" i="5" s="1"/>
  <c r="O211" i="5"/>
  <c r="O221" i="5" s="1"/>
  <c r="N211" i="5"/>
  <c r="N221" i="5" s="1"/>
  <c r="I206" i="5"/>
  <c r="J206" i="5" s="1"/>
  <c r="K206" i="5" s="1"/>
  <c r="L206" i="5" s="1"/>
  <c r="M206" i="5" s="1"/>
  <c r="O204" i="5"/>
  <c r="P204" i="5" s="1"/>
  <c r="Q204" i="5" s="1"/>
  <c r="E204" i="5"/>
  <c r="F204" i="5" s="1"/>
  <c r="G204" i="5" s="1"/>
  <c r="H204" i="5" s="1"/>
  <c r="I204" i="5" s="1"/>
  <c r="J204" i="5" s="1"/>
  <c r="K204" i="5" s="1"/>
  <c r="L204" i="5" s="1"/>
  <c r="M204" i="5" s="1"/>
  <c r="M195" i="5"/>
  <c r="L195" i="5"/>
  <c r="K195" i="5"/>
  <c r="J195" i="5"/>
  <c r="I195" i="5"/>
  <c r="H195" i="5"/>
  <c r="I192" i="5"/>
  <c r="J192" i="5" s="1"/>
  <c r="K192" i="5" s="1"/>
  <c r="L192" i="5" s="1"/>
  <c r="M192" i="5" s="1"/>
  <c r="G186" i="5"/>
  <c r="Q176" i="5"/>
  <c r="P176" i="5"/>
  <c r="O176" i="5"/>
  <c r="N176" i="5"/>
  <c r="M176" i="5"/>
  <c r="L176" i="5"/>
  <c r="K176" i="5"/>
  <c r="J176" i="5"/>
  <c r="I176" i="5"/>
  <c r="H176" i="5"/>
  <c r="N154" i="5"/>
  <c r="Q152" i="5"/>
  <c r="I152" i="5"/>
  <c r="J152" i="5" s="1"/>
  <c r="K152" i="5" s="1"/>
  <c r="D136" i="5"/>
  <c r="D135" i="5"/>
  <c r="D134" i="5"/>
  <c r="F111" i="5"/>
  <c r="E111" i="5"/>
  <c r="D107" i="5"/>
  <c r="D106" i="5"/>
  <c r="D105" i="5"/>
  <c r="E88" i="5"/>
  <c r="F88" i="5" s="1"/>
  <c r="G88" i="5" s="1"/>
  <c r="H88" i="5" s="1"/>
  <c r="I88" i="5" s="1"/>
  <c r="J88" i="5" s="1"/>
  <c r="K88" i="5" s="1"/>
  <c r="L88" i="5" s="1"/>
  <c r="M88" i="5" s="1"/>
  <c r="E78" i="5"/>
  <c r="F78" i="5" s="1"/>
  <c r="G78" i="5" s="1"/>
  <c r="H78" i="5" s="1"/>
  <c r="I78" i="5" s="1"/>
  <c r="J78" i="5" s="1"/>
  <c r="K78" i="5" s="1"/>
  <c r="L78" i="5" s="1"/>
  <c r="M78" i="5" s="1"/>
  <c r="N78" i="5" s="1"/>
  <c r="O78" i="5" s="1"/>
  <c r="P78" i="5" s="1"/>
  <c r="Q78" i="5" s="1"/>
  <c r="I73" i="5"/>
  <c r="J73" i="5" s="1"/>
  <c r="K73" i="5" s="1"/>
  <c r="L73" i="5" s="1"/>
  <c r="M73" i="5" s="1"/>
  <c r="N73" i="5" s="1"/>
  <c r="O73" i="5" s="1"/>
  <c r="P73" i="5" s="1"/>
  <c r="Q73" i="5" s="1"/>
  <c r="O71" i="5"/>
  <c r="F71" i="5"/>
  <c r="G71" i="5" s="1"/>
  <c r="H71" i="5" s="1"/>
  <c r="I71" i="5" s="1"/>
  <c r="J71" i="5" s="1"/>
  <c r="K71" i="5" s="1"/>
  <c r="L71" i="5" s="1"/>
  <c r="M71" i="5" s="1"/>
  <c r="E20" i="5"/>
  <c r="E19" i="5"/>
  <c r="E18" i="5"/>
  <c r="E17" i="5"/>
  <c r="E13" i="5"/>
  <c r="E11" i="5"/>
  <c r="C11" i="5"/>
  <c r="E10" i="5"/>
  <c r="E84" i="5" s="1"/>
  <c r="E9" i="5"/>
  <c r="E82" i="5" s="1"/>
  <c r="E8" i="5"/>
  <c r="L86" i="5" s="1"/>
  <c r="E6" i="5"/>
  <c r="C6" i="5"/>
  <c r="E5" i="5"/>
  <c r="C5" i="5"/>
  <c r="I99" i="4"/>
  <c r="H99" i="4"/>
  <c r="G99" i="4"/>
  <c r="T78" i="4"/>
  <c r="U78" i="4"/>
  <c r="V78" i="4" s="1"/>
  <c r="W78" i="4" s="1"/>
  <c r="X78" i="4" s="1"/>
  <c r="Y78" i="4" s="1"/>
  <c r="Z78" i="4" s="1"/>
  <c r="AA78" i="4" s="1"/>
  <c r="AB78" i="4" s="1"/>
  <c r="AC78" i="4" s="1"/>
  <c r="AD78" i="4" s="1"/>
  <c r="AE78" i="4" s="1"/>
  <c r="AF78" i="4" s="1"/>
  <c r="AG78" i="4" s="1"/>
  <c r="K78" i="4"/>
  <c r="L78" i="4" s="1"/>
  <c r="M78" i="4" s="1"/>
  <c r="N78" i="4" s="1"/>
  <c r="O78" i="4" s="1"/>
  <c r="P78" i="4" s="1"/>
  <c r="Q78" i="4" s="1"/>
  <c r="R78" i="4" s="1"/>
  <c r="S78" i="4" s="1"/>
  <c r="I78" i="4"/>
  <c r="J78" i="4"/>
  <c r="H78" i="4"/>
  <c r="H82" i="4"/>
  <c r="X244" i="4"/>
  <c r="Q244" i="4"/>
  <c r="O244" i="4"/>
  <c r="AF243" i="4"/>
  <c r="AE243" i="4"/>
  <c r="AD243" i="4"/>
  <c r="AC243" i="4"/>
  <c r="AB243" i="4"/>
  <c r="AA243" i="4"/>
  <c r="Z243" i="4"/>
  <c r="Y243" i="4"/>
  <c r="Y244" i="4" s="1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AF241" i="4"/>
  <c r="AF244" i="4" s="1"/>
  <c r="AE241" i="4"/>
  <c r="AE244" i="4" s="1"/>
  <c r="AD241" i="4"/>
  <c r="AC241" i="4"/>
  <c r="AC244" i="4" s="1"/>
  <c r="AB241" i="4"/>
  <c r="AB244" i="4" s="1"/>
  <c r="AA241" i="4"/>
  <c r="Z241" i="4"/>
  <c r="Z244" i="4" s="1"/>
  <c r="Y241" i="4"/>
  <c r="X241" i="4"/>
  <c r="W241" i="4"/>
  <c r="W244" i="4" s="1"/>
  <c r="V241" i="4"/>
  <c r="U241" i="4"/>
  <c r="U244" i="4" s="1"/>
  <c r="T241" i="4"/>
  <c r="T244" i="4" s="1"/>
  <c r="S241" i="4"/>
  <c r="R241" i="4"/>
  <c r="R244" i="4" s="1"/>
  <c r="Q241" i="4"/>
  <c r="P241" i="4"/>
  <c r="P244" i="4" s="1"/>
  <c r="O241" i="4"/>
  <c r="N241" i="4"/>
  <c r="AF221" i="4"/>
  <c r="AE221" i="4"/>
  <c r="AD221" i="4"/>
  <c r="AC221" i="4"/>
  <c r="AB221" i="4"/>
  <c r="AA221" i="4"/>
  <c r="Z221" i="4"/>
  <c r="Y221" i="4"/>
  <c r="X221" i="4"/>
  <c r="W221" i="4"/>
  <c r="AB220" i="4"/>
  <c r="AA213" i="4"/>
  <c r="U213" i="4"/>
  <c r="O213" i="4"/>
  <c r="AF210" i="4"/>
  <c r="AF220" i="4" s="1"/>
  <c r="AE210" i="4"/>
  <c r="AE220" i="4" s="1"/>
  <c r="AD210" i="4"/>
  <c r="AD220" i="4" s="1"/>
  <c r="AC210" i="4"/>
  <c r="AC220" i="4" s="1"/>
  <c r="AB210" i="4"/>
  <c r="AA210" i="4"/>
  <c r="AA220" i="4" s="1"/>
  <c r="Z210" i="4"/>
  <c r="Z220" i="4" s="1"/>
  <c r="Y210" i="4"/>
  <c r="Y220" i="4" s="1"/>
  <c r="X210" i="4"/>
  <c r="X220" i="4" s="1"/>
  <c r="W210" i="4"/>
  <c r="W220" i="4" s="1"/>
  <c r="V210" i="4"/>
  <c r="V220" i="4" s="1"/>
  <c r="U210" i="4"/>
  <c r="U220" i="4" s="1"/>
  <c r="T210" i="4"/>
  <c r="T220" i="4" s="1"/>
  <c r="S210" i="4"/>
  <c r="S220" i="4" s="1"/>
  <c r="R210" i="4"/>
  <c r="R220" i="4" s="1"/>
  <c r="Q210" i="4"/>
  <c r="Q220" i="4" s="1"/>
  <c r="P210" i="4"/>
  <c r="P220" i="4" s="1"/>
  <c r="O210" i="4"/>
  <c r="O220" i="4" s="1"/>
  <c r="N210" i="4"/>
  <c r="N220" i="4" s="1"/>
  <c r="AF209" i="4"/>
  <c r="AE209" i="4"/>
  <c r="AD209" i="4"/>
  <c r="AC209" i="4"/>
  <c r="AB209" i="4"/>
  <c r="AA209" i="4"/>
  <c r="Z209" i="4"/>
  <c r="Y209" i="4"/>
  <c r="X209" i="4"/>
  <c r="W209" i="4"/>
  <c r="I205" i="4"/>
  <c r="J205" i="4" s="1"/>
  <c r="K205" i="4" s="1"/>
  <c r="L205" i="4" s="1"/>
  <c r="M205" i="4" s="1"/>
  <c r="AE203" i="4"/>
  <c r="AF203" i="4" s="1"/>
  <c r="AD203" i="4"/>
  <c r="AA203" i="4"/>
  <c r="AB203" i="4" s="1"/>
  <c r="Y203" i="4"/>
  <c r="Z203" i="4" s="1"/>
  <c r="T203" i="4"/>
  <c r="U203" i="4" s="1"/>
  <c r="V203" i="4" s="1"/>
  <c r="W203" i="4" s="1"/>
  <c r="O203" i="4"/>
  <c r="P203" i="4" s="1"/>
  <c r="Q203" i="4" s="1"/>
  <c r="R203" i="4" s="1"/>
  <c r="E203" i="4"/>
  <c r="F203" i="4" s="1"/>
  <c r="G203" i="4" s="1"/>
  <c r="H203" i="4" s="1"/>
  <c r="I203" i="4" s="1"/>
  <c r="J203" i="4" s="1"/>
  <c r="K203" i="4" s="1"/>
  <c r="L203" i="4" s="1"/>
  <c r="M203" i="4" s="1"/>
  <c r="M194" i="4"/>
  <c r="L194" i="4"/>
  <c r="K194" i="4"/>
  <c r="J194" i="4"/>
  <c r="I194" i="4"/>
  <c r="H194" i="4"/>
  <c r="I191" i="4"/>
  <c r="J191" i="4" s="1"/>
  <c r="K191" i="4" s="1"/>
  <c r="L191" i="4" s="1"/>
  <c r="M191" i="4" s="1"/>
  <c r="G18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AF174" i="4"/>
  <c r="AE174" i="4"/>
  <c r="AD174" i="4"/>
  <c r="AC174" i="4"/>
  <c r="AB174" i="4"/>
  <c r="AA174" i="4"/>
  <c r="Z174" i="4"/>
  <c r="Y174" i="4"/>
  <c r="X174" i="4"/>
  <c r="W174" i="4"/>
  <c r="T153" i="4"/>
  <c r="N153" i="4"/>
  <c r="Q151" i="4"/>
  <c r="R151" i="4" s="1"/>
  <c r="S151" i="4" s="1"/>
  <c r="J151" i="4"/>
  <c r="K151" i="4" s="1"/>
  <c r="I151" i="4"/>
  <c r="D135" i="4"/>
  <c r="D134" i="4"/>
  <c r="D133" i="4"/>
  <c r="F110" i="4"/>
  <c r="E110" i="4"/>
  <c r="I110" i="4" s="1"/>
  <c r="D106" i="4"/>
  <c r="D105" i="4"/>
  <c r="D104" i="4"/>
  <c r="E88" i="4"/>
  <c r="F88" i="4" s="1"/>
  <c r="G88" i="4" s="1"/>
  <c r="I88" i="4" s="1"/>
  <c r="J88" i="4" s="1"/>
  <c r="K88" i="4" s="1"/>
  <c r="L88" i="4" s="1"/>
  <c r="M88" i="4" s="1"/>
  <c r="N88" i="4" s="1"/>
  <c r="F78" i="4"/>
  <c r="G78" i="4" s="1"/>
  <c r="E78" i="4"/>
  <c r="J73" i="4"/>
  <c r="K73" i="4" s="1"/>
  <c r="L73" i="4" s="1"/>
  <c r="M73" i="4" s="1"/>
  <c r="N73" i="4" s="1"/>
  <c r="O73" i="4" s="1"/>
  <c r="P73" i="4" s="1"/>
  <c r="Q73" i="4" s="1"/>
  <c r="R73" i="4" s="1"/>
  <c r="S73" i="4" s="1"/>
  <c r="T73" i="4" s="1"/>
  <c r="U73" i="4" s="1"/>
  <c r="V73" i="4" s="1"/>
  <c r="W73" i="4" s="1"/>
  <c r="X73" i="4" s="1"/>
  <c r="Y73" i="4" s="1"/>
  <c r="Z73" i="4" s="1"/>
  <c r="AA73" i="4" s="1"/>
  <c r="AB73" i="4" s="1"/>
  <c r="AC73" i="4" s="1"/>
  <c r="AD73" i="4" s="1"/>
  <c r="AE73" i="4" s="1"/>
  <c r="AF73" i="4" s="1"/>
  <c r="AG73" i="4" s="1"/>
  <c r="AF71" i="4"/>
  <c r="AG71" i="4" s="1"/>
  <c r="AB71" i="4"/>
  <c r="AC71" i="4" s="1"/>
  <c r="AD71" i="4" s="1"/>
  <c r="Y71" i="4"/>
  <c r="Z71" i="4" s="1"/>
  <c r="X71" i="4"/>
  <c r="U71" i="4"/>
  <c r="V71" i="4" s="1"/>
  <c r="T71" i="4"/>
  <c r="P71" i="4"/>
  <c r="F71" i="4"/>
  <c r="G71" i="4" s="1"/>
  <c r="I71" i="4" s="1"/>
  <c r="J71" i="4" s="1"/>
  <c r="K71" i="4" s="1"/>
  <c r="L71" i="4" s="1"/>
  <c r="M71" i="4" s="1"/>
  <c r="N71" i="4" s="1"/>
  <c r="E20" i="4"/>
  <c r="E19" i="4"/>
  <c r="E18" i="4"/>
  <c r="E17" i="4"/>
  <c r="E13" i="4"/>
  <c r="E11" i="4"/>
  <c r="C11" i="4"/>
  <c r="E10" i="4"/>
  <c r="E84" i="4" s="1"/>
  <c r="F84" i="4" s="1"/>
  <c r="G84" i="4" s="1"/>
  <c r="I84" i="4" s="1"/>
  <c r="J84" i="4" s="1"/>
  <c r="K84" i="4" s="1"/>
  <c r="L84" i="4" s="1"/>
  <c r="M84" i="4" s="1"/>
  <c r="N84" i="4" s="1"/>
  <c r="E9" i="4"/>
  <c r="E82" i="4" s="1"/>
  <c r="E8" i="4"/>
  <c r="E6" i="4"/>
  <c r="C6" i="4"/>
  <c r="E5" i="4"/>
  <c r="C5" i="4"/>
  <c r="G99" i="3"/>
  <c r="AE244" i="3"/>
  <c r="W244" i="3"/>
  <c r="O244" i="3"/>
  <c r="AF243" i="3"/>
  <c r="AF244" i="3" s="1"/>
  <c r="AE243" i="3"/>
  <c r="AD243" i="3"/>
  <c r="AC243" i="3"/>
  <c r="AB243" i="3"/>
  <c r="AA243" i="3"/>
  <c r="Z243" i="3"/>
  <c r="Y243" i="3"/>
  <c r="Y244" i="3" s="1"/>
  <c r="X243" i="3"/>
  <c r="X244" i="3" s="1"/>
  <c r="W243" i="3"/>
  <c r="V243" i="3"/>
  <c r="U243" i="3"/>
  <c r="T243" i="3"/>
  <c r="S243" i="3"/>
  <c r="R243" i="3"/>
  <c r="Q243" i="3"/>
  <c r="Q244" i="3" s="1"/>
  <c r="P243" i="3"/>
  <c r="P244" i="3" s="1"/>
  <c r="O243" i="3"/>
  <c r="N243" i="3"/>
  <c r="M243" i="3"/>
  <c r="L243" i="3"/>
  <c r="K243" i="3"/>
  <c r="J243" i="3"/>
  <c r="I243" i="3"/>
  <c r="H243" i="3"/>
  <c r="AF241" i="3"/>
  <c r="AE241" i="3"/>
  <c r="AD241" i="3"/>
  <c r="AD244" i="3" s="1"/>
  <c r="AC241" i="3"/>
  <c r="AC244" i="3" s="1"/>
  <c r="AB241" i="3"/>
  <c r="AA241" i="3"/>
  <c r="AA244" i="3" s="1"/>
  <c r="Z241" i="3"/>
  <c r="Z244" i="3" s="1"/>
  <c r="Y241" i="3"/>
  <c r="X241" i="3"/>
  <c r="W241" i="3"/>
  <c r="V241" i="3"/>
  <c r="V244" i="3" s="1"/>
  <c r="U241" i="3"/>
  <c r="U244" i="3" s="1"/>
  <c r="T241" i="3"/>
  <c r="S241" i="3"/>
  <c r="S244" i="3" s="1"/>
  <c r="R241" i="3"/>
  <c r="R244" i="3" s="1"/>
  <c r="Q241" i="3"/>
  <c r="P241" i="3"/>
  <c r="O241" i="3"/>
  <c r="N241" i="3"/>
  <c r="N244" i="3" s="1"/>
  <c r="AF221" i="3"/>
  <c r="AE221" i="3"/>
  <c r="AD221" i="3"/>
  <c r="AC221" i="3"/>
  <c r="AB221" i="3"/>
  <c r="AA221" i="3"/>
  <c r="Z221" i="3"/>
  <c r="Y221" i="3"/>
  <c r="X221" i="3"/>
  <c r="W221" i="3"/>
  <c r="AA220" i="3"/>
  <c r="Z220" i="3"/>
  <c r="T220" i="3"/>
  <c r="S220" i="3"/>
  <c r="R220" i="3"/>
  <c r="AA213" i="3"/>
  <c r="U213" i="3"/>
  <c r="O213" i="3"/>
  <c r="AF210" i="3"/>
  <c r="AF220" i="3" s="1"/>
  <c r="AE210" i="3"/>
  <c r="AE220" i="3" s="1"/>
  <c r="AD210" i="3"/>
  <c r="AD220" i="3" s="1"/>
  <c r="AC210" i="3"/>
  <c r="AC220" i="3" s="1"/>
  <c r="AB210" i="3"/>
  <c r="AB220" i="3" s="1"/>
  <c r="AA210" i="3"/>
  <c r="Z210" i="3"/>
  <c r="Y210" i="3"/>
  <c r="Y220" i="3" s="1"/>
  <c r="X210" i="3"/>
  <c r="X220" i="3" s="1"/>
  <c r="W210" i="3"/>
  <c r="W220" i="3" s="1"/>
  <c r="V210" i="3"/>
  <c r="V220" i="3" s="1"/>
  <c r="U210" i="3"/>
  <c r="U220" i="3" s="1"/>
  <c r="T210" i="3"/>
  <c r="S210" i="3"/>
  <c r="R210" i="3"/>
  <c r="Q210" i="3"/>
  <c r="Q220" i="3" s="1"/>
  <c r="P210" i="3"/>
  <c r="P220" i="3" s="1"/>
  <c r="O210" i="3"/>
  <c r="O220" i="3" s="1"/>
  <c r="N210" i="3"/>
  <c r="N220" i="3" s="1"/>
  <c r="AF209" i="3"/>
  <c r="AE209" i="3"/>
  <c r="AD209" i="3"/>
  <c r="AC209" i="3"/>
  <c r="AB209" i="3"/>
  <c r="AA209" i="3"/>
  <c r="Z209" i="3"/>
  <c r="Y209" i="3"/>
  <c r="X209" i="3"/>
  <c r="W209" i="3"/>
  <c r="L205" i="3"/>
  <c r="M205" i="3" s="1"/>
  <c r="I205" i="3"/>
  <c r="J205" i="3" s="1"/>
  <c r="K205" i="3" s="1"/>
  <c r="AF203" i="3"/>
  <c r="AD203" i="3"/>
  <c r="AE203" i="3" s="1"/>
  <c r="Y203" i="3"/>
  <c r="Z203" i="3" s="1"/>
  <c r="AA203" i="3" s="1"/>
  <c r="AB203" i="3" s="1"/>
  <c r="T203" i="3"/>
  <c r="U203" i="3" s="1"/>
  <c r="V203" i="3" s="1"/>
  <c r="W203" i="3" s="1"/>
  <c r="Q203" i="3"/>
  <c r="R203" i="3" s="1"/>
  <c r="O203" i="3"/>
  <c r="P203" i="3" s="1"/>
  <c r="E203" i="3"/>
  <c r="F203" i="3" s="1"/>
  <c r="G203" i="3" s="1"/>
  <c r="H203" i="3" s="1"/>
  <c r="I203" i="3" s="1"/>
  <c r="J203" i="3" s="1"/>
  <c r="K203" i="3" s="1"/>
  <c r="L203" i="3" s="1"/>
  <c r="M203" i="3" s="1"/>
  <c r="M194" i="3"/>
  <c r="L194" i="3"/>
  <c r="K194" i="3"/>
  <c r="J194" i="3"/>
  <c r="I194" i="3"/>
  <c r="H194" i="3"/>
  <c r="I191" i="3"/>
  <c r="J191" i="3" s="1"/>
  <c r="K191" i="3" s="1"/>
  <c r="L191" i="3" s="1"/>
  <c r="M191" i="3" s="1"/>
  <c r="G18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AF174" i="3"/>
  <c r="AE174" i="3"/>
  <c r="AD174" i="3"/>
  <c r="AC174" i="3"/>
  <c r="AB174" i="3"/>
  <c r="AA174" i="3"/>
  <c r="Z174" i="3"/>
  <c r="Y174" i="3"/>
  <c r="X174" i="3"/>
  <c r="W174" i="3"/>
  <c r="T153" i="3"/>
  <c r="N153" i="3"/>
  <c r="Q151" i="3"/>
  <c r="R151" i="3" s="1"/>
  <c r="S151" i="3" s="1"/>
  <c r="I151" i="3"/>
  <c r="J151" i="3" s="1"/>
  <c r="D135" i="3"/>
  <c r="D134" i="3"/>
  <c r="D133" i="3"/>
  <c r="I110" i="3"/>
  <c r="F110" i="3"/>
  <c r="E110" i="3"/>
  <c r="D106" i="3"/>
  <c r="D105" i="3"/>
  <c r="D104" i="3"/>
  <c r="E88" i="3"/>
  <c r="F88" i="3" s="1"/>
  <c r="G88" i="3" s="1"/>
  <c r="H88" i="3" s="1"/>
  <c r="I88" i="3" s="1"/>
  <c r="J88" i="3" s="1"/>
  <c r="K88" i="3" s="1"/>
  <c r="L88" i="3" s="1"/>
  <c r="M88" i="3" s="1"/>
  <c r="F78" i="3"/>
  <c r="G78" i="3" s="1"/>
  <c r="H78" i="3" s="1"/>
  <c r="I78" i="3" s="1"/>
  <c r="J78" i="3" s="1"/>
  <c r="K78" i="3" s="1"/>
  <c r="L78" i="3" s="1"/>
  <c r="M78" i="3" s="1"/>
  <c r="N78" i="3" s="1"/>
  <c r="O78" i="3" s="1"/>
  <c r="P78" i="3" s="1"/>
  <c r="Q78" i="3" s="1"/>
  <c r="R78" i="3" s="1"/>
  <c r="S78" i="3" s="1"/>
  <c r="T78" i="3" s="1"/>
  <c r="U78" i="3" s="1"/>
  <c r="V78" i="3" s="1"/>
  <c r="W78" i="3" s="1"/>
  <c r="X78" i="3" s="1"/>
  <c r="Y78" i="3" s="1"/>
  <c r="Z78" i="3" s="1"/>
  <c r="AA78" i="3" s="1"/>
  <c r="AB78" i="3" s="1"/>
  <c r="AC78" i="3" s="1"/>
  <c r="AD78" i="3" s="1"/>
  <c r="AE78" i="3" s="1"/>
  <c r="AF78" i="3" s="1"/>
  <c r="E78" i="3"/>
  <c r="I73" i="3"/>
  <c r="J73" i="3" s="1"/>
  <c r="K73" i="3" s="1"/>
  <c r="L73" i="3" s="1"/>
  <c r="M73" i="3" s="1"/>
  <c r="N73" i="3" s="1"/>
  <c r="O73" i="3" s="1"/>
  <c r="P73" i="3" s="1"/>
  <c r="Q73" i="3" s="1"/>
  <c r="R73" i="3" s="1"/>
  <c r="S73" i="3" s="1"/>
  <c r="T73" i="3" s="1"/>
  <c r="U73" i="3" s="1"/>
  <c r="V73" i="3" s="1"/>
  <c r="W73" i="3" s="1"/>
  <c r="X73" i="3" s="1"/>
  <c r="Y73" i="3" s="1"/>
  <c r="Z73" i="3" s="1"/>
  <c r="AA73" i="3" s="1"/>
  <c r="AB73" i="3" s="1"/>
  <c r="AC73" i="3" s="1"/>
  <c r="AD73" i="3" s="1"/>
  <c r="AE73" i="3" s="1"/>
  <c r="AF73" i="3" s="1"/>
  <c r="AE71" i="3"/>
  <c r="AF71" i="3" s="1"/>
  <c r="AB71" i="3"/>
  <c r="AC71" i="3" s="1"/>
  <c r="AA71" i="3"/>
  <c r="W71" i="3"/>
  <c r="X71" i="3" s="1"/>
  <c r="Y71" i="3" s="1"/>
  <c r="S71" i="3"/>
  <c r="T71" i="3" s="1"/>
  <c r="U71" i="3" s="1"/>
  <c r="O71" i="3"/>
  <c r="F71" i="3"/>
  <c r="G71" i="3" s="1"/>
  <c r="H71" i="3" s="1"/>
  <c r="I71" i="3" s="1"/>
  <c r="J71" i="3" s="1"/>
  <c r="K71" i="3" s="1"/>
  <c r="L71" i="3" s="1"/>
  <c r="M71" i="3" s="1"/>
  <c r="E20" i="3"/>
  <c r="E19" i="3"/>
  <c r="E18" i="3"/>
  <c r="E17" i="3"/>
  <c r="E13" i="3"/>
  <c r="E11" i="3"/>
  <c r="C11" i="3"/>
  <c r="E10" i="3"/>
  <c r="E84" i="3" s="1"/>
  <c r="F84" i="3" s="1"/>
  <c r="G84" i="3" s="1"/>
  <c r="H84" i="3" s="1"/>
  <c r="I84" i="3" s="1"/>
  <c r="J84" i="3" s="1"/>
  <c r="K84" i="3" s="1"/>
  <c r="L84" i="3" s="1"/>
  <c r="M84" i="3" s="1"/>
  <c r="E9" i="3"/>
  <c r="E82" i="3" s="1"/>
  <c r="F82" i="3" s="1"/>
  <c r="G82" i="3" s="1"/>
  <c r="H82" i="3" s="1"/>
  <c r="E8" i="3"/>
  <c r="I86" i="3" s="1"/>
  <c r="E6" i="3"/>
  <c r="C6" i="3"/>
  <c r="E12" i="3"/>
  <c r="C5" i="3"/>
  <c r="G185" i="1"/>
  <c r="W71" i="1"/>
  <c r="X71" i="1"/>
  <c r="Y71" i="1" s="1"/>
  <c r="AA71" i="1"/>
  <c r="AB71" i="1" s="1"/>
  <c r="AC71" i="1" s="1"/>
  <c r="AE71" i="1"/>
  <c r="AF71" i="1"/>
  <c r="S71" i="1"/>
  <c r="T71" i="1" s="1"/>
  <c r="U71" i="1" s="1"/>
  <c r="O71" i="1"/>
  <c r="N241" i="1"/>
  <c r="O241" i="1"/>
  <c r="P241" i="1"/>
  <c r="Q241" i="1"/>
  <c r="R241" i="1"/>
  <c r="R244" i="1" s="1"/>
  <c r="S241" i="1"/>
  <c r="T241" i="1"/>
  <c r="U241" i="1"/>
  <c r="V241" i="1"/>
  <c r="W241" i="1"/>
  <c r="X241" i="1"/>
  <c r="Y241" i="1"/>
  <c r="Z241" i="1"/>
  <c r="Z244" i="1" s="1"/>
  <c r="AA241" i="1"/>
  <c r="AB241" i="1"/>
  <c r="AC241" i="1"/>
  <c r="AD241" i="1"/>
  <c r="AE241" i="1"/>
  <c r="AF241" i="1"/>
  <c r="N243" i="1"/>
  <c r="O243" i="1"/>
  <c r="O244" i="1" s="1"/>
  <c r="P243" i="1"/>
  <c r="Q243" i="1"/>
  <c r="R243" i="1"/>
  <c r="S243" i="1"/>
  <c r="T243" i="1"/>
  <c r="U243" i="1"/>
  <c r="V243" i="1"/>
  <c r="W243" i="1"/>
  <c r="W244" i="1" s="1"/>
  <c r="X243" i="1"/>
  <c r="Y243" i="1"/>
  <c r="Z243" i="1"/>
  <c r="AA243" i="1"/>
  <c r="AB243" i="1"/>
  <c r="AC243" i="1"/>
  <c r="AD243" i="1"/>
  <c r="AE243" i="1"/>
  <c r="AE244" i="1" s="1"/>
  <c r="AF243" i="1"/>
  <c r="W221" i="1"/>
  <c r="X221" i="1"/>
  <c r="Y221" i="1"/>
  <c r="Z221" i="1"/>
  <c r="AA221" i="1"/>
  <c r="AB221" i="1"/>
  <c r="AC221" i="1"/>
  <c r="AD221" i="1"/>
  <c r="AE221" i="1"/>
  <c r="AF221" i="1"/>
  <c r="W209" i="1"/>
  <c r="X209" i="1"/>
  <c r="Y209" i="1"/>
  <c r="Z209" i="1"/>
  <c r="AA209" i="1"/>
  <c r="AB209" i="1"/>
  <c r="AC209" i="1"/>
  <c r="AD209" i="1"/>
  <c r="AE209" i="1"/>
  <c r="AF209" i="1"/>
  <c r="N210" i="1"/>
  <c r="N220" i="1" s="1"/>
  <c r="O210" i="1"/>
  <c r="O220" i="1" s="1"/>
  <c r="P210" i="1"/>
  <c r="P220" i="1" s="1"/>
  <c r="Q210" i="1"/>
  <c r="Q220" i="1" s="1"/>
  <c r="R210" i="1"/>
  <c r="R220" i="1" s="1"/>
  <c r="S210" i="1"/>
  <c r="S220" i="1" s="1"/>
  <c r="T210" i="1"/>
  <c r="T220" i="1" s="1"/>
  <c r="U210" i="1"/>
  <c r="U220" i="1" s="1"/>
  <c r="V210" i="1"/>
  <c r="V220" i="1" s="1"/>
  <c r="W210" i="1"/>
  <c r="W220" i="1" s="1"/>
  <c r="X210" i="1"/>
  <c r="X220" i="1" s="1"/>
  <c r="Y210" i="1"/>
  <c r="Y220" i="1" s="1"/>
  <c r="Z210" i="1"/>
  <c r="Z220" i="1" s="1"/>
  <c r="AA210" i="1"/>
  <c r="AA220" i="1" s="1"/>
  <c r="AB210" i="1"/>
  <c r="AB220" i="1" s="1"/>
  <c r="AC210" i="1"/>
  <c r="AC220" i="1" s="1"/>
  <c r="AD210" i="1"/>
  <c r="AD220" i="1" s="1"/>
  <c r="AE210" i="1"/>
  <c r="AE220" i="1" s="1"/>
  <c r="AF210" i="1"/>
  <c r="AF220" i="1" s="1"/>
  <c r="O213" i="1"/>
  <c r="U213" i="1"/>
  <c r="AA213" i="1"/>
  <c r="O203" i="1"/>
  <c r="P203" i="1" s="1"/>
  <c r="Q203" i="1" s="1"/>
  <c r="R203" i="1" s="1"/>
  <c r="T203" i="1"/>
  <c r="U203" i="1" s="1"/>
  <c r="V203" i="1" s="1"/>
  <c r="W203" i="1" s="1"/>
  <c r="Y203" i="1"/>
  <c r="Z203" i="1" s="1"/>
  <c r="AA203" i="1" s="1"/>
  <c r="AB203" i="1" s="1"/>
  <c r="AD203" i="1"/>
  <c r="AE203" i="1" s="1"/>
  <c r="AF203" i="1" s="1"/>
  <c r="W174" i="1"/>
  <c r="X174" i="1"/>
  <c r="Y174" i="1"/>
  <c r="Z174" i="1"/>
  <c r="AA174" i="1"/>
  <c r="AB174" i="1"/>
  <c r="AC174" i="1"/>
  <c r="AD174" i="1"/>
  <c r="AE174" i="1"/>
  <c r="AF174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N153" i="1"/>
  <c r="T153" i="1"/>
  <c r="Q151" i="1"/>
  <c r="R151" i="1" s="1"/>
  <c r="S151" i="1" s="1"/>
  <c r="M175" i="1"/>
  <c r="M194" i="1"/>
  <c r="M243" i="1"/>
  <c r="E5" i="1"/>
  <c r="E6" i="1"/>
  <c r="E8" i="1"/>
  <c r="M86" i="1" s="1"/>
  <c r="E9" i="1"/>
  <c r="E82" i="1" s="1"/>
  <c r="E10" i="1"/>
  <c r="E84" i="1" s="1"/>
  <c r="E11" i="1"/>
  <c r="E13" i="1"/>
  <c r="E17" i="1"/>
  <c r="E18" i="1"/>
  <c r="E19" i="1"/>
  <c r="E20" i="1"/>
  <c r="I205" i="1"/>
  <c r="J205" i="1" s="1"/>
  <c r="K205" i="1" s="1"/>
  <c r="L205" i="1" s="1"/>
  <c r="M205" i="1" s="1"/>
  <c r="E203" i="1"/>
  <c r="F203" i="1" s="1"/>
  <c r="G203" i="1" s="1"/>
  <c r="H203" i="1" s="1"/>
  <c r="I203" i="1" s="1"/>
  <c r="J203" i="1" s="1"/>
  <c r="K203" i="1" s="1"/>
  <c r="L203" i="1" s="1"/>
  <c r="M203" i="1" s="1"/>
  <c r="L194" i="1"/>
  <c r="K194" i="1"/>
  <c r="J194" i="1"/>
  <c r="I194" i="1"/>
  <c r="H194" i="1"/>
  <c r="I191" i="1"/>
  <c r="J191" i="1" s="1"/>
  <c r="K191" i="1" s="1"/>
  <c r="L191" i="1" s="1"/>
  <c r="M191" i="1" s="1"/>
  <c r="L175" i="1"/>
  <c r="K175" i="1"/>
  <c r="J175" i="1"/>
  <c r="I175" i="1"/>
  <c r="H175" i="1"/>
  <c r="I151" i="1"/>
  <c r="J151" i="1" s="1"/>
  <c r="K151" i="1" s="1"/>
  <c r="D135" i="1"/>
  <c r="D134" i="1"/>
  <c r="D133" i="1"/>
  <c r="F110" i="1"/>
  <c r="E110" i="1"/>
  <c r="D106" i="1"/>
  <c r="D105" i="1"/>
  <c r="D104" i="1"/>
  <c r="E88" i="1"/>
  <c r="F88" i="1" s="1"/>
  <c r="G88" i="1" s="1"/>
  <c r="H88" i="1" s="1"/>
  <c r="I88" i="1" s="1"/>
  <c r="J88" i="1" s="1"/>
  <c r="K88" i="1" s="1"/>
  <c r="L88" i="1" s="1"/>
  <c r="M88" i="1" s="1"/>
  <c r="E78" i="1"/>
  <c r="F78" i="1" s="1"/>
  <c r="G78" i="1" s="1"/>
  <c r="H78" i="1" s="1"/>
  <c r="I78" i="1" s="1"/>
  <c r="J78" i="1" s="1"/>
  <c r="K78" i="1" s="1"/>
  <c r="L78" i="1" s="1"/>
  <c r="M78" i="1" s="1"/>
  <c r="N78" i="1" s="1"/>
  <c r="I73" i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 s="1"/>
  <c r="W73" i="1" s="1"/>
  <c r="X73" i="1" s="1"/>
  <c r="Y73" i="1" s="1"/>
  <c r="Z73" i="1" s="1"/>
  <c r="AA73" i="1" s="1"/>
  <c r="AB73" i="1" s="1"/>
  <c r="AC73" i="1" s="1"/>
  <c r="AD73" i="1" s="1"/>
  <c r="AE73" i="1" s="1"/>
  <c r="AF73" i="1" s="1"/>
  <c r="F71" i="1"/>
  <c r="G71" i="1" s="1"/>
  <c r="H71" i="1" s="1"/>
  <c r="I71" i="1" s="1"/>
  <c r="J71" i="1" s="1"/>
  <c r="K71" i="1" s="1"/>
  <c r="L71" i="1" s="1"/>
  <c r="M71" i="1" s="1"/>
  <c r="C11" i="1"/>
  <c r="C6" i="1"/>
  <c r="C5" i="1"/>
  <c r="E12" i="5" l="1"/>
  <c r="F84" i="5"/>
  <c r="G84" i="5" s="1"/>
  <c r="H84" i="5" s="1"/>
  <c r="I84" i="5" s="1"/>
  <c r="J84" i="5" s="1"/>
  <c r="K84" i="5" s="1"/>
  <c r="L84" i="5" s="1"/>
  <c r="M84" i="5" s="1"/>
  <c r="F82" i="5"/>
  <c r="G82" i="5" s="1"/>
  <c r="H82" i="5" s="1"/>
  <c r="I111" i="5"/>
  <c r="N245" i="5"/>
  <c r="L152" i="5"/>
  <c r="H83" i="5"/>
  <c r="I82" i="5"/>
  <c r="G16" i="5"/>
  <c r="E16" i="5"/>
  <c r="E31" i="5"/>
  <c r="E32" i="5" s="1"/>
  <c r="F16" i="5"/>
  <c r="M86" i="5"/>
  <c r="H86" i="5"/>
  <c r="E7" i="5"/>
  <c r="P245" i="5"/>
  <c r="I86" i="5"/>
  <c r="J86" i="5"/>
  <c r="K86" i="5"/>
  <c r="E7" i="4"/>
  <c r="S244" i="4"/>
  <c r="AA244" i="4"/>
  <c r="N244" i="4"/>
  <c r="V244" i="4"/>
  <c r="AD244" i="4"/>
  <c r="N86" i="4"/>
  <c r="M86" i="4"/>
  <c r="L86" i="4"/>
  <c r="J86" i="4"/>
  <c r="F82" i="4"/>
  <c r="G82" i="4" s="1"/>
  <c r="I82" i="4" s="1"/>
  <c r="K86" i="4"/>
  <c r="I86" i="4"/>
  <c r="I87" i="4" s="1"/>
  <c r="AG77" i="4"/>
  <c r="AG79" i="4" s="1"/>
  <c r="Y77" i="4"/>
  <c r="Y79" i="4" s="1"/>
  <c r="Q77" i="4"/>
  <c r="Q79" i="4" s="1"/>
  <c r="I77" i="4"/>
  <c r="AF77" i="4"/>
  <c r="AF79" i="4" s="1"/>
  <c r="X77" i="4"/>
  <c r="X79" i="4" s="1"/>
  <c r="P77" i="4"/>
  <c r="P79" i="4" s="1"/>
  <c r="AE77" i="4"/>
  <c r="AE79" i="4" s="1"/>
  <c r="W77" i="4"/>
  <c r="W79" i="4" s="1"/>
  <c r="O77" i="4"/>
  <c r="O79" i="4" s="1"/>
  <c r="AD77" i="4"/>
  <c r="AD79" i="4" s="1"/>
  <c r="V77" i="4"/>
  <c r="V79" i="4" s="1"/>
  <c r="N77" i="4"/>
  <c r="R77" i="4"/>
  <c r="R79" i="4" s="1"/>
  <c r="L151" i="4"/>
  <c r="E12" i="4"/>
  <c r="G16" i="3"/>
  <c r="F16" i="3"/>
  <c r="E16" i="3"/>
  <c r="E31" i="3"/>
  <c r="E32" i="3" s="1"/>
  <c r="K151" i="3"/>
  <c r="H83" i="3"/>
  <c r="I82" i="3"/>
  <c r="J86" i="3"/>
  <c r="K86" i="3"/>
  <c r="L86" i="3"/>
  <c r="M86" i="3"/>
  <c r="T244" i="3"/>
  <c r="AB244" i="3"/>
  <c r="E7" i="3"/>
  <c r="H86" i="3"/>
  <c r="AF244" i="1"/>
  <c r="X244" i="1"/>
  <c r="P244" i="1"/>
  <c r="E12" i="1"/>
  <c r="G16" i="1" s="1"/>
  <c r="J86" i="1"/>
  <c r="Y244" i="1"/>
  <c r="Q244" i="1"/>
  <c r="L86" i="1"/>
  <c r="H86" i="1"/>
  <c r="E16" i="1"/>
  <c r="E7" i="1"/>
  <c r="AD244" i="1"/>
  <c r="V244" i="1"/>
  <c r="N244" i="1"/>
  <c r="AC244" i="1"/>
  <c r="U244" i="1"/>
  <c r="AB244" i="1"/>
  <c r="T244" i="1"/>
  <c r="AA244" i="1"/>
  <c r="S244" i="1"/>
  <c r="O78" i="1"/>
  <c r="I110" i="1"/>
  <c r="H243" i="1"/>
  <c r="K243" i="1"/>
  <c r="I243" i="1"/>
  <c r="L243" i="1"/>
  <c r="I86" i="1"/>
  <c r="K86" i="1"/>
  <c r="F84" i="1"/>
  <c r="G84" i="1" s="1"/>
  <c r="H84" i="1" s="1"/>
  <c r="I84" i="1" s="1"/>
  <c r="J84" i="1" s="1"/>
  <c r="K84" i="1" s="1"/>
  <c r="L84" i="1" s="1"/>
  <c r="M84" i="1" s="1"/>
  <c r="F82" i="1"/>
  <c r="G82" i="1" s="1"/>
  <c r="H82" i="1" s="1"/>
  <c r="I82" i="1" s="1"/>
  <c r="J243" i="1"/>
  <c r="L151" i="1"/>
  <c r="M151" i="1" s="1"/>
  <c r="N77" i="5" l="1"/>
  <c r="N79" i="5" s="1"/>
  <c r="M77" i="5"/>
  <c r="M87" i="5" s="1"/>
  <c r="Q77" i="5"/>
  <c r="Q79" i="5" s="1"/>
  <c r="L77" i="5"/>
  <c r="J77" i="5"/>
  <c r="K77" i="5"/>
  <c r="P77" i="5"/>
  <c r="P79" i="5" s="1"/>
  <c r="H77" i="5"/>
  <c r="I77" i="5"/>
  <c r="O77" i="5"/>
  <c r="O79" i="5" s="1"/>
  <c r="I83" i="5"/>
  <c r="J82" i="5"/>
  <c r="H87" i="5"/>
  <c r="J87" i="5"/>
  <c r="M152" i="5"/>
  <c r="F35" i="5"/>
  <c r="G35" i="5"/>
  <c r="G112" i="5" s="1"/>
  <c r="E35" i="5"/>
  <c r="L87" i="4"/>
  <c r="U77" i="4"/>
  <c r="U79" i="4" s="1"/>
  <c r="T77" i="4"/>
  <c r="T79" i="4" s="1"/>
  <c r="AC77" i="4"/>
  <c r="AC79" i="4" s="1"/>
  <c r="K77" i="4"/>
  <c r="S77" i="4"/>
  <c r="S79" i="4" s="1"/>
  <c r="L77" i="4"/>
  <c r="M77" i="4"/>
  <c r="AB77" i="4"/>
  <c r="AB79" i="4" s="1"/>
  <c r="AA77" i="4"/>
  <c r="AA79" i="4" s="1"/>
  <c r="J77" i="4"/>
  <c r="Z77" i="4"/>
  <c r="Z79" i="4" s="1"/>
  <c r="E16" i="4"/>
  <c r="E31" i="4"/>
  <c r="E32" i="4" s="1"/>
  <c r="F16" i="4"/>
  <c r="G16" i="4"/>
  <c r="K241" i="4"/>
  <c r="K244" i="4" s="1"/>
  <c r="L89" i="4"/>
  <c r="H241" i="4"/>
  <c r="I89" i="4"/>
  <c r="N87" i="4"/>
  <c r="I83" i="4"/>
  <c r="J82" i="4"/>
  <c r="N79" i="4"/>
  <c r="N85" i="4"/>
  <c r="I79" i="4"/>
  <c r="I85" i="4"/>
  <c r="M151" i="4"/>
  <c r="G35" i="3"/>
  <c r="G111" i="3" s="1"/>
  <c r="F35" i="3"/>
  <c r="E35" i="3"/>
  <c r="K87" i="3"/>
  <c r="J87" i="3"/>
  <c r="M87" i="3"/>
  <c r="AA77" i="3"/>
  <c r="AA79" i="3" s="1"/>
  <c r="S77" i="3"/>
  <c r="S79" i="3" s="1"/>
  <c r="K77" i="3"/>
  <c r="Z77" i="3"/>
  <c r="Z79" i="3" s="1"/>
  <c r="R77" i="3"/>
  <c r="R79" i="3" s="1"/>
  <c r="J77" i="3"/>
  <c r="Y77" i="3"/>
  <c r="Y79" i="3" s="1"/>
  <c r="Q77" i="3"/>
  <c r="Q79" i="3" s="1"/>
  <c r="I77" i="3"/>
  <c r="AF77" i="3"/>
  <c r="AF79" i="3" s="1"/>
  <c r="X77" i="3"/>
  <c r="X79" i="3" s="1"/>
  <c r="P77" i="3"/>
  <c r="P79" i="3" s="1"/>
  <c r="H77" i="3"/>
  <c r="AE77" i="3"/>
  <c r="AE79" i="3" s="1"/>
  <c r="W77" i="3"/>
  <c r="W79" i="3" s="1"/>
  <c r="O77" i="3"/>
  <c r="O79" i="3" s="1"/>
  <c r="AD77" i="3"/>
  <c r="AD79" i="3" s="1"/>
  <c r="V77" i="3"/>
  <c r="V79" i="3" s="1"/>
  <c r="N77" i="3"/>
  <c r="N79" i="3" s="1"/>
  <c r="AC77" i="3"/>
  <c r="AC79" i="3" s="1"/>
  <c r="U77" i="3"/>
  <c r="U79" i="3" s="1"/>
  <c r="M77" i="3"/>
  <c r="AB77" i="3"/>
  <c r="AB79" i="3" s="1"/>
  <c r="T77" i="3"/>
  <c r="T79" i="3" s="1"/>
  <c r="L77" i="3"/>
  <c r="L87" i="3" s="1"/>
  <c r="L151" i="3"/>
  <c r="I83" i="3"/>
  <c r="J82" i="3"/>
  <c r="F16" i="1"/>
  <c r="E31" i="1"/>
  <c r="E32" i="1" s="1"/>
  <c r="F35" i="1" s="1"/>
  <c r="M77" i="1"/>
  <c r="O77" i="1"/>
  <c r="W77" i="1"/>
  <c r="AE77" i="1"/>
  <c r="P77" i="1"/>
  <c r="X77" i="1"/>
  <c r="AF77" i="1"/>
  <c r="Q77" i="1"/>
  <c r="Y77" i="1"/>
  <c r="R77" i="1"/>
  <c r="Z77" i="1"/>
  <c r="S77" i="1"/>
  <c r="AA77" i="1"/>
  <c r="T77" i="1"/>
  <c r="AB77" i="1"/>
  <c r="U77" i="1"/>
  <c r="AC77" i="1"/>
  <c r="N77" i="1"/>
  <c r="N79" i="1" s="1"/>
  <c r="V77" i="1"/>
  <c r="AD77" i="1"/>
  <c r="P78" i="1"/>
  <c r="O79" i="1"/>
  <c r="H83" i="1"/>
  <c r="H77" i="1"/>
  <c r="H87" i="1" s="1"/>
  <c r="H241" i="1" s="1"/>
  <c r="H244" i="1" s="1"/>
  <c r="K77" i="1"/>
  <c r="K85" i="1" s="1"/>
  <c r="J77" i="1"/>
  <c r="J87" i="1" s="1"/>
  <c r="J89" i="1" s="1"/>
  <c r="L77" i="1"/>
  <c r="L79" i="1" s="1"/>
  <c r="I77" i="1"/>
  <c r="I87" i="1" s="1"/>
  <c r="I89" i="1" s="1"/>
  <c r="J82" i="1"/>
  <c r="I83" i="1"/>
  <c r="M85" i="5" l="1"/>
  <c r="M79" i="5"/>
  <c r="K79" i="5"/>
  <c r="K85" i="5"/>
  <c r="I79" i="5"/>
  <c r="I85" i="5"/>
  <c r="I87" i="5"/>
  <c r="K87" i="5"/>
  <c r="H242" i="5"/>
  <c r="H89" i="5"/>
  <c r="F112" i="5"/>
  <c r="F96" i="5"/>
  <c r="J83" i="5"/>
  <c r="K82" i="5"/>
  <c r="L79" i="5"/>
  <c r="L85" i="5"/>
  <c r="L87" i="5"/>
  <c r="M242" i="5"/>
  <c r="M245" i="5" s="1"/>
  <c r="M89" i="5"/>
  <c r="G116" i="5"/>
  <c r="G123" i="5" s="1"/>
  <c r="H79" i="5"/>
  <c r="H85" i="5"/>
  <c r="H90" i="5" s="1"/>
  <c r="J85" i="5"/>
  <c r="J79" i="5"/>
  <c r="J242" i="5"/>
  <c r="J245" i="5" s="1"/>
  <c r="J89" i="5"/>
  <c r="E112" i="5"/>
  <c r="E96" i="5"/>
  <c r="K79" i="4"/>
  <c r="K85" i="4"/>
  <c r="J79" i="4"/>
  <c r="J85" i="4"/>
  <c r="M85" i="4"/>
  <c r="M79" i="4"/>
  <c r="K87" i="4"/>
  <c r="L79" i="4"/>
  <c r="L85" i="4"/>
  <c r="J87" i="4"/>
  <c r="M87" i="4"/>
  <c r="G35" i="4"/>
  <c r="G111" i="4" s="1"/>
  <c r="F35" i="4"/>
  <c r="E35" i="4"/>
  <c r="J83" i="4"/>
  <c r="K82" i="4"/>
  <c r="H244" i="4"/>
  <c r="M241" i="4"/>
  <c r="M244" i="4" s="1"/>
  <c r="N89" i="4"/>
  <c r="I90" i="4"/>
  <c r="I92" i="4" s="1"/>
  <c r="L89" i="3"/>
  <c r="L241" i="3"/>
  <c r="L244" i="3" s="1"/>
  <c r="J79" i="3"/>
  <c r="J85" i="3"/>
  <c r="H79" i="3"/>
  <c r="H85" i="3"/>
  <c r="J89" i="3"/>
  <c r="J241" i="3"/>
  <c r="J244" i="3" s="1"/>
  <c r="J83" i="3"/>
  <c r="K82" i="3"/>
  <c r="K89" i="3"/>
  <c r="K241" i="3"/>
  <c r="K244" i="3" s="1"/>
  <c r="M151" i="3"/>
  <c r="E96" i="3"/>
  <c r="E111" i="3"/>
  <c r="M241" i="3"/>
  <c r="M244" i="3" s="1"/>
  <c r="M89" i="3"/>
  <c r="M79" i="3"/>
  <c r="M85" i="3"/>
  <c r="K79" i="3"/>
  <c r="K85" i="3"/>
  <c r="L79" i="3"/>
  <c r="L85" i="3"/>
  <c r="I79" i="3"/>
  <c r="I85" i="3"/>
  <c r="I87" i="3"/>
  <c r="F96" i="3"/>
  <c r="F111" i="3"/>
  <c r="H87" i="3"/>
  <c r="G115" i="3"/>
  <c r="G122" i="3" s="1"/>
  <c r="G35" i="1"/>
  <c r="G111" i="1" s="1"/>
  <c r="G115" i="1" s="1"/>
  <c r="G122" i="1" s="1"/>
  <c r="E35" i="1"/>
  <c r="E96" i="1" s="1"/>
  <c r="M87" i="1"/>
  <c r="M85" i="1"/>
  <c r="M79" i="1"/>
  <c r="Q78" i="1"/>
  <c r="P79" i="1"/>
  <c r="J85" i="1"/>
  <c r="I85" i="1"/>
  <c r="I79" i="1"/>
  <c r="I241" i="1"/>
  <c r="I244" i="1" s="1"/>
  <c r="J241" i="1"/>
  <c r="J244" i="1" s="1"/>
  <c r="H79" i="1"/>
  <c r="J79" i="1"/>
  <c r="L85" i="1"/>
  <c r="H89" i="1"/>
  <c r="H85" i="1"/>
  <c r="L87" i="1"/>
  <c r="L241" i="1" s="1"/>
  <c r="L244" i="1" s="1"/>
  <c r="K87" i="1"/>
  <c r="K89" i="1" s="1"/>
  <c r="K79" i="1"/>
  <c r="F111" i="1"/>
  <c r="F96" i="1"/>
  <c r="I90" i="1"/>
  <c r="J83" i="1"/>
  <c r="K82" i="1"/>
  <c r="H92" i="5" l="1"/>
  <c r="H162" i="5" s="1"/>
  <c r="J90" i="5"/>
  <c r="J92" i="5"/>
  <c r="J209" i="5" s="1"/>
  <c r="H245" i="5"/>
  <c r="K83" i="5"/>
  <c r="L82" i="5"/>
  <c r="E116" i="5"/>
  <c r="E117" i="5" s="1"/>
  <c r="E123" i="5"/>
  <c r="I112" i="5"/>
  <c r="I242" i="5"/>
  <c r="I245" i="5" s="1"/>
  <c r="I89" i="5"/>
  <c r="I90" i="5" s="1"/>
  <c r="I92" i="5" s="1"/>
  <c r="K242" i="5"/>
  <c r="K245" i="5" s="1"/>
  <c r="K89" i="5"/>
  <c r="G147" i="5"/>
  <c r="G94" i="5"/>
  <c r="G96" i="5" s="1"/>
  <c r="F116" i="5"/>
  <c r="F123" i="5" s="1"/>
  <c r="F176" i="5" s="1"/>
  <c r="H174" i="5"/>
  <c r="L242" i="5"/>
  <c r="L245" i="5" s="1"/>
  <c r="L89" i="5"/>
  <c r="J241" i="4"/>
  <c r="J244" i="4" s="1"/>
  <c r="K89" i="4"/>
  <c r="M89" i="4"/>
  <c r="L241" i="4"/>
  <c r="L244" i="4" s="1"/>
  <c r="J89" i="4"/>
  <c r="J90" i="4" s="1"/>
  <c r="J92" i="4" s="1"/>
  <c r="I241" i="4"/>
  <c r="I244" i="4" s="1"/>
  <c r="H229" i="4"/>
  <c r="H173" i="4"/>
  <c r="H161" i="4"/>
  <c r="H208" i="4"/>
  <c r="I96" i="4"/>
  <c r="K83" i="4"/>
  <c r="K90" i="4" s="1"/>
  <c r="K92" i="4" s="1"/>
  <c r="L82" i="4"/>
  <c r="G146" i="4"/>
  <c r="G94" i="4"/>
  <c r="G96" i="4" s="1"/>
  <c r="E96" i="4"/>
  <c r="E111" i="4"/>
  <c r="F111" i="4"/>
  <c r="F96" i="4"/>
  <c r="G115" i="4"/>
  <c r="G122" i="4" s="1"/>
  <c r="J90" i="3"/>
  <c r="K83" i="3"/>
  <c r="K90" i="3" s="1"/>
  <c r="L82" i="3"/>
  <c r="E115" i="3"/>
  <c r="E116" i="3" s="1"/>
  <c r="E122" i="3"/>
  <c r="I111" i="3"/>
  <c r="I241" i="3"/>
  <c r="I244" i="3" s="1"/>
  <c r="I89" i="3"/>
  <c r="I90" i="3" s="1"/>
  <c r="I92" i="3" s="1"/>
  <c r="H241" i="3"/>
  <c r="H89" i="3"/>
  <c r="H90" i="3" s="1"/>
  <c r="H92" i="3" s="1"/>
  <c r="J92" i="3"/>
  <c r="F115" i="3"/>
  <c r="F122" i="3" s="1"/>
  <c r="F175" i="3" s="1"/>
  <c r="K92" i="3"/>
  <c r="E111" i="1"/>
  <c r="E115" i="1" s="1"/>
  <c r="E116" i="1" s="1"/>
  <c r="M89" i="1"/>
  <c r="M241" i="1"/>
  <c r="M244" i="1" s="1"/>
  <c r="R78" i="1"/>
  <c r="Q79" i="1"/>
  <c r="J90" i="1"/>
  <c r="J92" i="1" s="1"/>
  <c r="I92" i="1"/>
  <c r="I229" i="1" s="1"/>
  <c r="H90" i="1"/>
  <c r="G94" i="1" s="1"/>
  <c r="L89" i="1"/>
  <c r="K241" i="1"/>
  <c r="K244" i="1" s="1"/>
  <c r="L82" i="1"/>
  <c r="M82" i="1" s="1"/>
  <c r="K83" i="1"/>
  <c r="K90" i="1" s="1"/>
  <c r="K92" i="1" s="1"/>
  <c r="F115" i="1"/>
  <c r="F122" i="1" s="1"/>
  <c r="F175" i="1" s="1"/>
  <c r="H96" i="5" l="1"/>
  <c r="H209" i="5"/>
  <c r="H230" i="5"/>
  <c r="J162" i="5"/>
  <c r="J174" i="5"/>
  <c r="J96" i="5"/>
  <c r="J230" i="5"/>
  <c r="I174" i="5"/>
  <c r="I162" i="5"/>
  <c r="I209" i="5"/>
  <c r="I96" i="5"/>
  <c r="I230" i="5"/>
  <c r="F223" i="5"/>
  <c r="F224" i="5" s="1"/>
  <c r="F246" i="5" s="1"/>
  <c r="F177" i="5"/>
  <c r="E128" i="5"/>
  <c r="E176" i="5"/>
  <c r="E124" i="5"/>
  <c r="F124" i="5" s="1"/>
  <c r="E118" i="5"/>
  <c r="E119" i="5" s="1"/>
  <c r="E120" i="5"/>
  <c r="L83" i="5"/>
  <c r="L90" i="5" s="1"/>
  <c r="L92" i="5" s="1"/>
  <c r="M82" i="5"/>
  <c r="K90" i="5"/>
  <c r="K92" i="5" s="1"/>
  <c r="E243" i="5"/>
  <c r="I161" i="4"/>
  <c r="I229" i="4"/>
  <c r="I173" i="4"/>
  <c r="I208" i="4"/>
  <c r="J96" i="4"/>
  <c r="E242" i="4"/>
  <c r="L83" i="4"/>
  <c r="L90" i="4" s="1"/>
  <c r="L92" i="4" s="1"/>
  <c r="M82" i="4"/>
  <c r="F115" i="4"/>
  <c r="F122" i="4" s="1"/>
  <c r="F175" i="4" s="1"/>
  <c r="J173" i="4"/>
  <c r="J161" i="4"/>
  <c r="J208" i="4"/>
  <c r="K96" i="4"/>
  <c r="J229" i="4"/>
  <c r="E115" i="4"/>
  <c r="E116" i="4" s="1"/>
  <c r="E122" i="4"/>
  <c r="I111" i="4"/>
  <c r="F222" i="3"/>
  <c r="F223" i="3" s="1"/>
  <c r="F245" i="3" s="1"/>
  <c r="F176" i="3"/>
  <c r="I208" i="3"/>
  <c r="I96" i="3"/>
  <c r="I229" i="3"/>
  <c r="I173" i="3"/>
  <c r="I161" i="3"/>
  <c r="K173" i="3"/>
  <c r="K161" i="3"/>
  <c r="K208" i="3"/>
  <c r="K229" i="3"/>
  <c r="K96" i="3"/>
  <c r="J173" i="3"/>
  <c r="J161" i="3"/>
  <c r="J229" i="3"/>
  <c r="J208" i="3"/>
  <c r="J96" i="3"/>
  <c r="E117" i="3"/>
  <c r="E118" i="3" s="1"/>
  <c r="E119" i="3" s="1"/>
  <c r="E242" i="3"/>
  <c r="H244" i="3"/>
  <c r="L83" i="3"/>
  <c r="L90" i="3" s="1"/>
  <c r="L92" i="3" s="1"/>
  <c r="M82" i="3"/>
  <c r="H173" i="3"/>
  <c r="H161" i="3"/>
  <c r="H96" i="3"/>
  <c r="H229" i="3"/>
  <c r="H208" i="3"/>
  <c r="G146" i="3"/>
  <c r="G94" i="3"/>
  <c r="G96" i="3" s="1"/>
  <c r="E127" i="3"/>
  <c r="E175" i="3"/>
  <c r="E123" i="3"/>
  <c r="F123" i="3" s="1"/>
  <c r="I111" i="1"/>
  <c r="M83" i="1"/>
  <c r="M90" i="1" s="1"/>
  <c r="M92" i="1" s="1"/>
  <c r="N82" i="1"/>
  <c r="S78" i="1"/>
  <c r="R79" i="1"/>
  <c r="J161" i="1"/>
  <c r="J173" i="1"/>
  <c r="J96" i="1"/>
  <c r="I208" i="1"/>
  <c r="J208" i="1"/>
  <c r="J229" i="1"/>
  <c r="I161" i="1"/>
  <c r="I173" i="1"/>
  <c r="I96" i="1"/>
  <c r="E242" i="1"/>
  <c r="H92" i="1"/>
  <c r="G146" i="1"/>
  <c r="G96" i="1"/>
  <c r="F222" i="1"/>
  <c r="F223" i="1" s="1"/>
  <c r="F245" i="1" s="1"/>
  <c r="F176" i="1"/>
  <c r="L83" i="1"/>
  <c r="L90" i="1" s="1"/>
  <c r="L92" i="1" s="1"/>
  <c r="E117" i="1"/>
  <c r="E118" i="1" s="1"/>
  <c r="E119" i="1" s="1"/>
  <c r="K229" i="1"/>
  <c r="K96" i="1"/>
  <c r="K173" i="1"/>
  <c r="K208" i="1"/>
  <c r="K161" i="1"/>
  <c r="E122" i="1"/>
  <c r="K174" i="5" l="1"/>
  <c r="K162" i="5"/>
  <c r="K209" i="5"/>
  <c r="K230" i="5"/>
  <c r="K96" i="5"/>
  <c r="F128" i="5"/>
  <c r="G124" i="5"/>
  <c r="G128" i="5" s="1"/>
  <c r="G140" i="5" s="1"/>
  <c r="M83" i="5"/>
  <c r="M90" i="5" s="1"/>
  <c r="M92" i="5" s="1"/>
  <c r="N82" i="5"/>
  <c r="E177" i="5"/>
  <c r="E223" i="5"/>
  <c r="E224" i="5" s="1"/>
  <c r="L174" i="5"/>
  <c r="L162" i="5"/>
  <c r="L209" i="5"/>
  <c r="L230" i="5"/>
  <c r="L96" i="5"/>
  <c r="F115" i="5"/>
  <c r="E127" i="5"/>
  <c r="E129" i="5" s="1"/>
  <c r="F222" i="4"/>
  <c r="F223" i="4" s="1"/>
  <c r="F245" i="4" s="1"/>
  <c r="F176" i="4"/>
  <c r="E127" i="4"/>
  <c r="E175" i="4"/>
  <c r="E123" i="4"/>
  <c r="F123" i="4" s="1"/>
  <c r="E117" i="4"/>
  <c r="E118" i="4" s="1"/>
  <c r="E119" i="4" s="1"/>
  <c r="K173" i="4"/>
  <c r="K161" i="4"/>
  <c r="K208" i="4"/>
  <c r="K229" i="4"/>
  <c r="L96" i="4"/>
  <c r="M83" i="4"/>
  <c r="M90" i="4" s="1"/>
  <c r="M92" i="4" s="1"/>
  <c r="N82" i="4"/>
  <c r="E126" i="3"/>
  <c r="E128" i="3" s="1"/>
  <c r="F114" i="3"/>
  <c r="L173" i="3"/>
  <c r="L161" i="3"/>
  <c r="L208" i="3"/>
  <c r="L229" i="3"/>
  <c r="L96" i="3"/>
  <c r="E222" i="3"/>
  <c r="E223" i="3" s="1"/>
  <c r="E176" i="3"/>
  <c r="M83" i="3"/>
  <c r="M90" i="3" s="1"/>
  <c r="M92" i="3" s="1"/>
  <c r="N82" i="3"/>
  <c r="F127" i="3"/>
  <c r="G123" i="3"/>
  <c r="G127" i="3" s="1"/>
  <c r="G139" i="3" s="1"/>
  <c r="O82" i="1"/>
  <c r="N83" i="1"/>
  <c r="N90" i="1" s="1"/>
  <c r="N92" i="1" s="1"/>
  <c r="M208" i="1"/>
  <c r="M96" i="1"/>
  <c r="M161" i="1"/>
  <c r="M173" i="1"/>
  <c r="M229" i="1"/>
  <c r="T78" i="1"/>
  <c r="S79" i="1"/>
  <c r="H96" i="1"/>
  <c r="H161" i="1"/>
  <c r="H229" i="1"/>
  <c r="H208" i="1"/>
  <c r="H173" i="1"/>
  <c r="F114" i="1"/>
  <c r="E126" i="1"/>
  <c r="L229" i="1"/>
  <c r="L96" i="1"/>
  <c r="L173" i="1"/>
  <c r="L208" i="1"/>
  <c r="L161" i="1"/>
  <c r="E127" i="1"/>
  <c r="E175" i="1"/>
  <c r="E123" i="1"/>
  <c r="F123" i="1" s="1"/>
  <c r="M209" i="5" l="1"/>
  <c r="M230" i="5"/>
  <c r="M174" i="5"/>
  <c r="M162" i="5"/>
  <c r="M96" i="5"/>
  <c r="E246" i="5"/>
  <c r="F117" i="5"/>
  <c r="F118" i="5" s="1"/>
  <c r="F119" i="5" s="1"/>
  <c r="N83" i="5"/>
  <c r="N90" i="5" s="1"/>
  <c r="N92" i="5" s="1"/>
  <c r="O82" i="5"/>
  <c r="E222" i="4"/>
  <c r="E223" i="4" s="1"/>
  <c r="E176" i="4"/>
  <c r="L173" i="4"/>
  <c r="L161" i="4"/>
  <c r="L208" i="4"/>
  <c r="L229" i="4"/>
  <c r="M96" i="4"/>
  <c r="N83" i="4"/>
  <c r="N90" i="4" s="1"/>
  <c r="N92" i="4" s="1"/>
  <c r="O82" i="4"/>
  <c r="F114" i="4"/>
  <c r="E126" i="4"/>
  <c r="E128" i="4" s="1"/>
  <c r="F127" i="4"/>
  <c r="G123" i="4"/>
  <c r="G127" i="4" s="1"/>
  <c r="G139" i="4" s="1"/>
  <c r="N83" i="3"/>
  <c r="N90" i="3" s="1"/>
  <c r="N92" i="3" s="1"/>
  <c r="O82" i="3"/>
  <c r="M208" i="3"/>
  <c r="M229" i="3"/>
  <c r="M96" i="3"/>
  <c r="M173" i="3"/>
  <c r="M161" i="3"/>
  <c r="E245" i="3"/>
  <c r="F116" i="3"/>
  <c r="F117" i="3" s="1"/>
  <c r="F118" i="3" s="1"/>
  <c r="N229" i="1"/>
  <c r="N161" i="1"/>
  <c r="N173" i="1"/>
  <c r="N96" i="1"/>
  <c r="N208" i="1"/>
  <c r="P82" i="1"/>
  <c r="O83" i="1"/>
  <c r="O90" i="1" s="1"/>
  <c r="O92" i="1" s="1"/>
  <c r="U78" i="1"/>
  <c r="T79" i="1"/>
  <c r="E176" i="1"/>
  <c r="E222" i="1"/>
  <c r="E223" i="1" s="1"/>
  <c r="F127" i="1"/>
  <c r="G123" i="1"/>
  <c r="G127" i="1" s="1"/>
  <c r="G139" i="1" s="1"/>
  <c r="E128" i="1"/>
  <c r="F116" i="1"/>
  <c r="P82" i="5" l="1"/>
  <c r="O83" i="5"/>
  <c r="O90" i="5" s="1"/>
  <c r="O92" i="5" s="1"/>
  <c r="N230" i="5"/>
  <c r="N174" i="5"/>
  <c r="N162" i="5"/>
  <c r="N209" i="5"/>
  <c r="N96" i="5"/>
  <c r="F120" i="5"/>
  <c r="O83" i="4"/>
  <c r="O90" i="4" s="1"/>
  <c r="O92" i="4" s="1"/>
  <c r="P82" i="4"/>
  <c r="M208" i="4"/>
  <c r="M229" i="4"/>
  <c r="N96" i="4"/>
  <c r="M173" i="4"/>
  <c r="M161" i="4"/>
  <c r="E245" i="4"/>
  <c r="F116" i="4"/>
  <c r="O83" i="3"/>
  <c r="O90" i="3" s="1"/>
  <c r="O92" i="3" s="1"/>
  <c r="P82" i="3"/>
  <c r="F119" i="3"/>
  <c r="N229" i="3"/>
  <c r="N96" i="3"/>
  <c r="N173" i="3"/>
  <c r="N161" i="3"/>
  <c r="N208" i="3"/>
  <c r="Q82" i="1"/>
  <c r="P83" i="1"/>
  <c r="P90" i="1" s="1"/>
  <c r="P92" i="1" s="1"/>
  <c r="O208" i="1"/>
  <c r="O96" i="1"/>
  <c r="O161" i="1"/>
  <c r="O173" i="1"/>
  <c r="O229" i="1"/>
  <c r="V78" i="1"/>
  <c r="U79" i="1"/>
  <c r="F117" i="1"/>
  <c r="F118" i="1" s="1"/>
  <c r="F119" i="1" s="1"/>
  <c r="E245" i="1"/>
  <c r="G115" i="5" l="1"/>
  <c r="F127" i="5"/>
  <c r="F129" i="5" s="1"/>
  <c r="O209" i="5"/>
  <c r="O230" i="5"/>
  <c r="O96" i="5"/>
  <c r="O174" i="5"/>
  <c r="O162" i="5"/>
  <c r="P83" i="5"/>
  <c r="P90" i="5" s="1"/>
  <c r="P92" i="5" s="1"/>
  <c r="Q82" i="5"/>
  <c r="Q82" i="4"/>
  <c r="P83" i="4"/>
  <c r="P90" i="4" s="1"/>
  <c r="P92" i="4" s="1"/>
  <c r="F117" i="4"/>
  <c r="F118" i="4" s="1"/>
  <c r="F119" i="4" s="1"/>
  <c r="N229" i="4"/>
  <c r="N173" i="4"/>
  <c r="N161" i="4"/>
  <c r="N208" i="4"/>
  <c r="O96" i="4"/>
  <c r="P83" i="3"/>
  <c r="P90" i="3" s="1"/>
  <c r="P92" i="3" s="1"/>
  <c r="Q82" i="3"/>
  <c r="O96" i="3"/>
  <c r="O229" i="3"/>
  <c r="O173" i="3"/>
  <c r="O161" i="3"/>
  <c r="O208" i="3"/>
  <c r="G114" i="3"/>
  <c r="F126" i="3"/>
  <c r="F128" i="3" s="1"/>
  <c r="P173" i="1"/>
  <c r="P96" i="1"/>
  <c r="P208" i="1"/>
  <c r="P229" i="1"/>
  <c r="P161" i="1"/>
  <c r="R82" i="1"/>
  <c r="Q83" i="1"/>
  <c r="Q90" i="1" s="1"/>
  <c r="Q92" i="1" s="1"/>
  <c r="W78" i="1"/>
  <c r="V79" i="1"/>
  <c r="G114" i="1"/>
  <c r="F126" i="1"/>
  <c r="F128" i="1" s="1"/>
  <c r="Q83" i="5" l="1"/>
  <c r="Q90" i="5" s="1"/>
  <c r="Q92" i="5" s="1"/>
  <c r="P174" i="5"/>
  <c r="P162" i="5"/>
  <c r="P230" i="5"/>
  <c r="P209" i="5"/>
  <c r="P96" i="5"/>
  <c r="G99" i="5" s="1"/>
  <c r="G117" i="5"/>
  <c r="G118" i="5" s="1"/>
  <c r="G119" i="5" s="1"/>
  <c r="G114" i="4"/>
  <c r="F126" i="4"/>
  <c r="F128" i="4" s="1"/>
  <c r="O208" i="4"/>
  <c r="O161" i="4"/>
  <c r="O229" i="4"/>
  <c r="O173" i="4"/>
  <c r="P96" i="4"/>
  <c r="R82" i="4"/>
  <c r="Q83" i="4"/>
  <c r="Q90" i="4" s="1"/>
  <c r="Q92" i="4" s="1"/>
  <c r="G116" i="3"/>
  <c r="Q83" i="3"/>
  <c r="Q90" i="3" s="1"/>
  <c r="Q92" i="3" s="1"/>
  <c r="R82" i="3"/>
  <c r="P173" i="3"/>
  <c r="P161" i="3"/>
  <c r="P229" i="3"/>
  <c r="P208" i="3"/>
  <c r="P96" i="3"/>
  <c r="Q229" i="1"/>
  <c r="Q161" i="1"/>
  <c r="Q208" i="1"/>
  <c r="Q96" i="1"/>
  <c r="Q173" i="1"/>
  <c r="R83" i="1"/>
  <c r="R90" i="1" s="1"/>
  <c r="R92" i="1" s="1"/>
  <c r="S82" i="1"/>
  <c r="X78" i="1"/>
  <c r="W79" i="1"/>
  <c r="G116" i="1"/>
  <c r="G120" i="5" l="1"/>
  <c r="G127" i="5" s="1"/>
  <c r="G129" i="5" s="1"/>
  <c r="G139" i="5" s="1"/>
  <c r="Q174" i="5"/>
  <c r="Q162" i="5"/>
  <c r="Q209" i="5"/>
  <c r="Q96" i="5"/>
  <c r="Q98" i="5" s="1"/>
  <c r="Q230" i="5"/>
  <c r="P208" i="4"/>
  <c r="P229" i="4"/>
  <c r="P173" i="4"/>
  <c r="Q96" i="4"/>
  <c r="P161" i="4"/>
  <c r="R83" i="4"/>
  <c r="R90" i="4" s="1"/>
  <c r="R92" i="4" s="1"/>
  <c r="S82" i="4"/>
  <c r="G116" i="4"/>
  <c r="G117" i="4" s="1"/>
  <c r="G118" i="4" s="1"/>
  <c r="Q208" i="3"/>
  <c r="Q173" i="3"/>
  <c r="Q161" i="3"/>
  <c r="Q96" i="3"/>
  <c r="Q229" i="3"/>
  <c r="R83" i="3"/>
  <c r="R90" i="3" s="1"/>
  <c r="R92" i="3" s="1"/>
  <c r="S82" i="3"/>
  <c r="G117" i="3"/>
  <c r="G118" i="3" s="1"/>
  <c r="G119" i="3" s="1"/>
  <c r="G126" i="3" s="1"/>
  <c r="G128" i="3" s="1"/>
  <c r="G138" i="3" s="1"/>
  <c r="S83" i="1"/>
  <c r="S90" i="1" s="1"/>
  <c r="S92" i="1" s="1"/>
  <c r="T82" i="1"/>
  <c r="R96" i="1"/>
  <c r="R173" i="1"/>
  <c r="R161" i="1"/>
  <c r="R229" i="1"/>
  <c r="R208" i="1"/>
  <c r="Y78" i="1"/>
  <c r="X79" i="1"/>
  <c r="G117" i="1"/>
  <c r="G118" i="1" s="1"/>
  <c r="G119" i="1" s="1"/>
  <c r="G126" i="1" s="1"/>
  <c r="G128" i="1" s="1"/>
  <c r="G138" i="1" s="1"/>
  <c r="E100" i="5" l="1"/>
  <c r="E99" i="5"/>
  <c r="G141" i="5"/>
  <c r="G142" i="5" s="1"/>
  <c r="J157" i="5"/>
  <c r="J210" i="5" s="1"/>
  <c r="Q156" i="5"/>
  <c r="H154" i="5"/>
  <c r="P156" i="5"/>
  <c r="N157" i="5"/>
  <c r="N210" i="5" s="1"/>
  <c r="N212" i="5" s="1"/>
  <c r="Q157" i="5"/>
  <c r="Q210" i="5" s="1"/>
  <c r="Q212" i="5" s="1"/>
  <c r="L156" i="5"/>
  <c r="N156" i="5"/>
  <c r="I157" i="5"/>
  <c r="I210" i="5" s="1"/>
  <c r="J156" i="5"/>
  <c r="P157" i="5"/>
  <c r="P210" i="5" s="1"/>
  <c r="P212" i="5" s="1"/>
  <c r="K157" i="5"/>
  <c r="K210" i="5" s="1"/>
  <c r="K156" i="5"/>
  <c r="O157" i="5"/>
  <c r="O210" i="5" s="1"/>
  <c r="O212" i="5" s="1"/>
  <c r="O156" i="5"/>
  <c r="H157" i="5"/>
  <c r="H210" i="5" s="1"/>
  <c r="H156" i="5"/>
  <c r="I156" i="5"/>
  <c r="L157" i="5"/>
  <c r="L210" i="5" s="1"/>
  <c r="M157" i="5"/>
  <c r="M210" i="5" s="1"/>
  <c r="M156" i="5"/>
  <c r="S83" i="4"/>
  <c r="S90" i="4" s="1"/>
  <c r="S92" i="4" s="1"/>
  <c r="T82" i="4"/>
  <c r="Q173" i="4"/>
  <c r="Q161" i="4"/>
  <c r="Q229" i="4"/>
  <c r="R96" i="4"/>
  <c r="Q208" i="4"/>
  <c r="G119" i="4"/>
  <c r="G126" i="4" s="1"/>
  <c r="G128" i="4" s="1"/>
  <c r="G138" i="4" s="1"/>
  <c r="Q155" i="3"/>
  <c r="V156" i="3"/>
  <c r="V209" i="3" s="1"/>
  <c r="U155" i="3"/>
  <c r="H153" i="3"/>
  <c r="G140" i="3"/>
  <c r="G141" i="3" s="1"/>
  <c r="T156" i="3"/>
  <c r="T209" i="3" s="1"/>
  <c r="S156" i="3"/>
  <c r="S209" i="3" s="1"/>
  <c r="I155" i="3"/>
  <c r="R155" i="3"/>
  <c r="O155" i="3"/>
  <c r="T155" i="3"/>
  <c r="P156" i="3"/>
  <c r="P209" i="3" s="1"/>
  <c r="P211" i="3" s="1"/>
  <c r="H155" i="3"/>
  <c r="P155" i="3"/>
  <c r="S155" i="3"/>
  <c r="N155" i="3"/>
  <c r="I156" i="3"/>
  <c r="I209" i="3" s="1"/>
  <c r="Q156" i="3"/>
  <c r="Q209" i="3" s="1"/>
  <c r="Q211" i="3" s="1"/>
  <c r="V155" i="3"/>
  <c r="R156" i="3"/>
  <c r="R209" i="3" s="1"/>
  <c r="O156" i="3"/>
  <c r="O209" i="3" s="1"/>
  <c r="O211" i="3" s="1"/>
  <c r="H156" i="3"/>
  <c r="H209" i="3" s="1"/>
  <c r="N156" i="3"/>
  <c r="N209" i="3" s="1"/>
  <c r="N211" i="3" s="1"/>
  <c r="U156" i="3"/>
  <c r="U209" i="3" s="1"/>
  <c r="J155" i="3"/>
  <c r="J156" i="3"/>
  <c r="J209" i="3" s="1"/>
  <c r="K156" i="3"/>
  <c r="K209" i="3" s="1"/>
  <c r="K155" i="3"/>
  <c r="L155" i="3"/>
  <c r="L156" i="3"/>
  <c r="L209" i="3" s="1"/>
  <c r="M155" i="3"/>
  <c r="M156" i="3"/>
  <c r="M209" i="3" s="1"/>
  <c r="S83" i="3"/>
  <c r="S90" i="3" s="1"/>
  <c r="S92" i="3" s="1"/>
  <c r="T82" i="3"/>
  <c r="R173" i="3"/>
  <c r="R161" i="3"/>
  <c r="R229" i="3"/>
  <c r="R96" i="3"/>
  <c r="R208" i="3"/>
  <c r="R211" i="3" s="1"/>
  <c r="P156" i="1"/>
  <c r="P209" i="1" s="1"/>
  <c r="P211" i="1" s="1"/>
  <c r="T156" i="1"/>
  <c r="T209" i="1" s="1"/>
  <c r="N155" i="1"/>
  <c r="Q156" i="1"/>
  <c r="Q209" i="1" s="1"/>
  <c r="Q211" i="1" s="1"/>
  <c r="Q155" i="1"/>
  <c r="U155" i="1"/>
  <c r="V155" i="1"/>
  <c r="V156" i="1"/>
  <c r="V209" i="1" s="1"/>
  <c r="R155" i="1"/>
  <c r="P155" i="1"/>
  <c r="S156" i="1"/>
  <c r="S209" i="1" s="1"/>
  <c r="S155" i="1"/>
  <c r="T155" i="1"/>
  <c r="O156" i="1"/>
  <c r="O209" i="1" s="1"/>
  <c r="O211" i="1" s="1"/>
  <c r="U156" i="1"/>
  <c r="U209" i="1" s="1"/>
  <c r="R156" i="1"/>
  <c r="R209" i="1" s="1"/>
  <c r="R211" i="1" s="1"/>
  <c r="O155" i="1"/>
  <c r="N156" i="1"/>
  <c r="N209" i="1" s="1"/>
  <c r="N211" i="1" s="1"/>
  <c r="T83" i="1"/>
  <c r="T90" i="1" s="1"/>
  <c r="T92" i="1" s="1"/>
  <c r="U82" i="1"/>
  <c r="S173" i="1"/>
  <c r="S161" i="1"/>
  <c r="S96" i="1"/>
  <c r="S229" i="1"/>
  <c r="S208" i="1"/>
  <c r="Z78" i="1"/>
  <c r="Y79" i="1"/>
  <c r="M156" i="1"/>
  <c r="M209" i="1" s="1"/>
  <c r="M155" i="1"/>
  <c r="G140" i="1"/>
  <c r="G141" i="1" s="1"/>
  <c r="G142" i="1" s="1"/>
  <c r="G184" i="1" s="1"/>
  <c r="I213" i="1" s="1"/>
  <c r="H153" i="1"/>
  <c r="J156" i="1"/>
  <c r="J209" i="1" s="1"/>
  <c r="L155" i="1"/>
  <c r="I156" i="1"/>
  <c r="I209" i="1" s="1"/>
  <c r="K156" i="1"/>
  <c r="K209" i="1" s="1"/>
  <c r="J155" i="1"/>
  <c r="K155" i="1"/>
  <c r="H155" i="1"/>
  <c r="I155" i="1"/>
  <c r="H156" i="1"/>
  <c r="H209" i="1" s="1"/>
  <c r="L156" i="1"/>
  <c r="L209" i="1" s="1"/>
  <c r="Q213" i="5" l="1"/>
  <c r="Q215" i="5" s="1"/>
  <c r="Q231" i="5" s="1"/>
  <c r="Q232" i="5" s="1"/>
  <c r="Q216" i="5"/>
  <c r="Q220" i="5" s="1"/>
  <c r="K158" i="5"/>
  <c r="K222" i="5"/>
  <c r="N213" i="5"/>
  <c r="N215" i="5" s="1"/>
  <c r="N231" i="5" s="1"/>
  <c r="N232" i="5" s="1"/>
  <c r="N216" i="5"/>
  <c r="N220" i="5" s="1"/>
  <c r="N224" i="5" s="1"/>
  <c r="N246" i="5" s="1"/>
  <c r="P213" i="5"/>
  <c r="P215" i="5" s="1"/>
  <c r="P231" i="5" s="1"/>
  <c r="P232" i="5" s="1"/>
  <c r="P216" i="5"/>
  <c r="P220" i="5" s="1"/>
  <c r="P224" i="5" s="1"/>
  <c r="P246" i="5" s="1"/>
  <c r="P222" i="5"/>
  <c r="P158" i="5"/>
  <c r="L222" i="5"/>
  <c r="L158" i="5"/>
  <c r="J158" i="5"/>
  <c r="J222" i="5"/>
  <c r="I158" i="5"/>
  <c r="I222" i="5"/>
  <c r="M222" i="5"/>
  <c r="M158" i="5"/>
  <c r="O222" i="5"/>
  <c r="O158" i="5"/>
  <c r="G143" i="5"/>
  <c r="G185" i="5" s="1"/>
  <c r="H222" i="5"/>
  <c r="H158" i="5"/>
  <c r="O213" i="5"/>
  <c r="O215" i="5" s="1"/>
  <c r="O231" i="5" s="1"/>
  <c r="O232" i="5" s="1"/>
  <c r="H160" i="5"/>
  <c r="N222" i="5"/>
  <c r="N158" i="5"/>
  <c r="N160" i="5"/>
  <c r="Q158" i="5"/>
  <c r="Q222" i="5"/>
  <c r="H159" i="4"/>
  <c r="G142" i="4"/>
  <c r="G184" i="4" s="1"/>
  <c r="U156" i="4"/>
  <c r="U209" i="4" s="1"/>
  <c r="T155" i="4"/>
  <c r="T156" i="4"/>
  <c r="T209" i="4" s="1"/>
  <c r="H153" i="4"/>
  <c r="G140" i="4"/>
  <c r="G141" i="4" s="1"/>
  <c r="Q155" i="4"/>
  <c r="K155" i="4"/>
  <c r="H156" i="4"/>
  <c r="H209" i="4" s="1"/>
  <c r="S155" i="4"/>
  <c r="U155" i="4"/>
  <c r="P156" i="4"/>
  <c r="P209" i="4" s="1"/>
  <c r="P211" i="4" s="1"/>
  <c r="K156" i="4"/>
  <c r="K209" i="4" s="1"/>
  <c r="N156" i="4"/>
  <c r="N209" i="4" s="1"/>
  <c r="N211" i="4" s="1"/>
  <c r="H155" i="4"/>
  <c r="P155" i="4"/>
  <c r="N155" i="4"/>
  <c r="I156" i="4"/>
  <c r="I209" i="4" s="1"/>
  <c r="R155" i="4"/>
  <c r="V155" i="4"/>
  <c r="O156" i="4"/>
  <c r="O209" i="4" s="1"/>
  <c r="O211" i="4" s="1"/>
  <c r="O155" i="4"/>
  <c r="R156" i="4"/>
  <c r="R209" i="4" s="1"/>
  <c r="V156" i="4"/>
  <c r="V209" i="4" s="1"/>
  <c r="J155" i="4"/>
  <c r="Q156" i="4"/>
  <c r="Q209" i="4" s="1"/>
  <c r="Q211" i="4" s="1"/>
  <c r="I155" i="4"/>
  <c r="J156" i="4"/>
  <c r="J209" i="4" s="1"/>
  <c r="S156" i="4"/>
  <c r="S209" i="4" s="1"/>
  <c r="L156" i="4"/>
  <c r="L209" i="4" s="1"/>
  <c r="L155" i="4"/>
  <c r="M156" i="4"/>
  <c r="M209" i="4" s="1"/>
  <c r="M155" i="4"/>
  <c r="T83" i="4"/>
  <c r="T90" i="4" s="1"/>
  <c r="T92" i="4" s="1"/>
  <c r="U82" i="4"/>
  <c r="R173" i="4"/>
  <c r="R161" i="4"/>
  <c r="R208" i="4"/>
  <c r="R211" i="4" s="1"/>
  <c r="R229" i="4"/>
  <c r="S96" i="4"/>
  <c r="V221" i="3"/>
  <c r="V157" i="3"/>
  <c r="R163" i="3"/>
  <c r="M157" i="3"/>
  <c r="M221" i="3"/>
  <c r="N212" i="3"/>
  <c r="N214" i="3" s="1"/>
  <c r="N230" i="3" s="1"/>
  <c r="N231" i="3" s="1"/>
  <c r="Q212" i="3"/>
  <c r="Q214" i="3" s="1"/>
  <c r="Q230" i="3" s="1"/>
  <c r="Q231" i="3" s="1"/>
  <c r="P221" i="3"/>
  <c r="P157" i="3"/>
  <c r="H221" i="3"/>
  <c r="H157" i="3"/>
  <c r="L221" i="3"/>
  <c r="L157" i="3"/>
  <c r="O212" i="3"/>
  <c r="O214" i="3" s="1"/>
  <c r="O230" i="3" s="1"/>
  <c r="O231" i="3" s="1"/>
  <c r="O215" i="3"/>
  <c r="O219" i="3" s="1"/>
  <c r="T83" i="3"/>
  <c r="T90" i="3" s="1"/>
  <c r="T92" i="3" s="1"/>
  <c r="U82" i="3"/>
  <c r="K221" i="3"/>
  <c r="K157" i="3"/>
  <c r="P212" i="3"/>
  <c r="P214" i="3" s="1"/>
  <c r="P230" i="3" s="1"/>
  <c r="P231" i="3" s="1"/>
  <c r="P215" i="3"/>
  <c r="P219" i="3" s="1"/>
  <c r="U221" i="3"/>
  <c r="U157" i="3"/>
  <c r="S173" i="3"/>
  <c r="S161" i="3"/>
  <c r="S208" i="3"/>
  <c r="S211" i="3" s="1"/>
  <c r="S96" i="3"/>
  <c r="S229" i="3"/>
  <c r="T221" i="3"/>
  <c r="T157" i="3"/>
  <c r="T159" i="3"/>
  <c r="O221" i="3"/>
  <c r="O157" i="3"/>
  <c r="J157" i="3"/>
  <c r="J221" i="3"/>
  <c r="R157" i="3"/>
  <c r="R221" i="3"/>
  <c r="H159" i="3"/>
  <c r="R212" i="3"/>
  <c r="R214" i="3" s="1"/>
  <c r="R230" i="3" s="1"/>
  <c r="R231" i="3" s="1"/>
  <c r="N221" i="3"/>
  <c r="N157" i="3"/>
  <c r="N159" i="3"/>
  <c r="I157" i="3"/>
  <c r="I221" i="3"/>
  <c r="Q157" i="3"/>
  <c r="Q221" i="3"/>
  <c r="S221" i="3"/>
  <c r="S157" i="3"/>
  <c r="G142" i="3"/>
  <c r="G184" i="3" s="1"/>
  <c r="S211" i="1"/>
  <c r="S212" i="1" s="1"/>
  <c r="S214" i="1" s="1"/>
  <c r="S230" i="1" s="1"/>
  <c r="S231" i="1" s="1"/>
  <c r="R212" i="1"/>
  <c r="R214" i="1" s="1"/>
  <c r="R230" i="1" s="1"/>
  <c r="R231" i="1" s="1"/>
  <c r="O212" i="1"/>
  <c r="O214" i="1" s="1"/>
  <c r="O230" i="1" s="1"/>
  <c r="O231" i="1" s="1"/>
  <c r="U157" i="1"/>
  <c r="U221" i="1"/>
  <c r="S221" i="1"/>
  <c r="S157" i="1"/>
  <c r="T157" i="1"/>
  <c r="T221" i="1"/>
  <c r="T159" i="1"/>
  <c r="Q221" i="1"/>
  <c r="Q157" i="1"/>
  <c r="V82" i="1"/>
  <c r="U83" i="1"/>
  <c r="U90" i="1" s="1"/>
  <c r="U92" i="1" s="1"/>
  <c r="T208" i="1"/>
  <c r="T211" i="1" s="1"/>
  <c r="T161" i="1"/>
  <c r="T163" i="1" s="1"/>
  <c r="T96" i="1"/>
  <c r="T173" i="1"/>
  <c r="T229" i="1"/>
  <c r="N221" i="1"/>
  <c r="N159" i="1"/>
  <c r="N157" i="1"/>
  <c r="N212" i="1"/>
  <c r="N214" i="1" s="1"/>
  <c r="N230" i="1" s="1"/>
  <c r="N231" i="1" s="1"/>
  <c r="P221" i="1"/>
  <c r="P157" i="1"/>
  <c r="O221" i="1"/>
  <c r="O157" i="1"/>
  <c r="R157" i="1"/>
  <c r="R221" i="1"/>
  <c r="P212" i="1"/>
  <c r="P214" i="1" s="1"/>
  <c r="P230" i="1" s="1"/>
  <c r="P231" i="1" s="1"/>
  <c r="Q212" i="1"/>
  <c r="Q214" i="1" s="1"/>
  <c r="Q230" i="1" s="1"/>
  <c r="Q231" i="1" s="1"/>
  <c r="V157" i="1"/>
  <c r="V221" i="1"/>
  <c r="AA78" i="1"/>
  <c r="Z79" i="1"/>
  <c r="M157" i="1"/>
  <c r="M221" i="1"/>
  <c r="I221" i="1"/>
  <c r="I157" i="1"/>
  <c r="H221" i="1"/>
  <c r="H157" i="1"/>
  <c r="K221" i="1"/>
  <c r="K157" i="1"/>
  <c r="J221" i="1"/>
  <c r="J157" i="1"/>
  <c r="L157" i="1"/>
  <c r="L221" i="1"/>
  <c r="H159" i="1"/>
  <c r="H233" i="5" l="1"/>
  <c r="H175" i="5"/>
  <c r="H177" i="5" s="1"/>
  <c r="G146" i="5"/>
  <c r="G148" i="5" s="1"/>
  <c r="H164" i="5"/>
  <c r="P233" i="5"/>
  <c r="P235" i="5" s="1"/>
  <c r="P175" i="5"/>
  <c r="P177" i="5" s="1"/>
  <c r="P164" i="5"/>
  <c r="I214" i="5"/>
  <c r="G187" i="5"/>
  <c r="J175" i="5"/>
  <c r="J177" i="5" s="1"/>
  <c r="J233" i="5"/>
  <c r="J164" i="5"/>
  <c r="I233" i="5"/>
  <c r="I175" i="5"/>
  <c r="I177" i="5" s="1"/>
  <c r="I164" i="5"/>
  <c r="K175" i="5"/>
  <c r="K177" i="5" s="1"/>
  <c r="K233" i="5"/>
  <c r="K164" i="5"/>
  <c r="Q233" i="5"/>
  <c r="Q235" i="5" s="1"/>
  <c r="Q175" i="5"/>
  <c r="Q177" i="5" s="1"/>
  <c r="Q164" i="5"/>
  <c r="I160" i="5"/>
  <c r="I154" i="5"/>
  <c r="O233" i="5"/>
  <c r="O175" i="5"/>
  <c r="O177" i="5" s="1"/>
  <c r="O164" i="5"/>
  <c r="O235" i="5"/>
  <c r="O154" i="5"/>
  <c r="O160" i="5"/>
  <c r="L233" i="5"/>
  <c r="L175" i="5"/>
  <c r="L177" i="5" s="1"/>
  <c r="L164" i="5"/>
  <c r="Q224" i="5"/>
  <c r="Q246" i="5" s="1"/>
  <c r="N233" i="5"/>
  <c r="N235" i="5" s="1"/>
  <c r="N175" i="5"/>
  <c r="N177" i="5" s="1"/>
  <c r="N164" i="5"/>
  <c r="O216" i="5"/>
  <c r="O220" i="5" s="1"/>
  <c r="O224" i="5" s="1"/>
  <c r="O246" i="5" s="1"/>
  <c r="M233" i="5"/>
  <c r="M175" i="5"/>
  <c r="M177" i="5" s="1"/>
  <c r="M164" i="5"/>
  <c r="Q212" i="4"/>
  <c r="Q214" i="4" s="1"/>
  <c r="Q230" i="4" s="1"/>
  <c r="Q231" i="4" s="1"/>
  <c r="O212" i="4"/>
  <c r="O214" i="4" s="1"/>
  <c r="O230" i="4" s="1"/>
  <c r="O231" i="4" s="1"/>
  <c r="V221" i="4"/>
  <c r="V157" i="4"/>
  <c r="P212" i="4"/>
  <c r="P214" i="4" s="1"/>
  <c r="P230" i="4" s="1"/>
  <c r="P231" i="4" s="1"/>
  <c r="U83" i="4"/>
  <c r="U90" i="4" s="1"/>
  <c r="U92" i="4" s="1"/>
  <c r="V82" i="4"/>
  <c r="I157" i="4"/>
  <c r="I221" i="4"/>
  <c r="R157" i="4"/>
  <c r="R221" i="4"/>
  <c r="U221" i="4"/>
  <c r="U157" i="4"/>
  <c r="T221" i="4"/>
  <c r="T159" i="4"/>
  <c r="T157" i="4"/>
  <c r="S173" i="4"/>
  <c r="S161" i="4"/>
  <c r="S208" i="4"/>
  <c r="S211" i="4" s="1"/>
  <c r="S229" i="4"/>
  <c r="T96" i="4"/>
  <c r="S221" i="4"/>
  <c r="S157" i="4"/>
  <c r="I159" i="4"/>
  <c r="I153" i="4"/>
  <c r="M221" i="4"/>
  <c r="M157" i="4"/>
  <c r="J157" i="4"/>
  <c r="J221" i="4"/>
  <c r="N221" i="4"/>
  <c r="N157" i="4"/>
  <c r="N159" i="4"/>
  <c r="I213" i="4"/>
  <c r="G186" i="4"/>
  <c r="R212" i="4"/>
  <c r="R214" i="4" s="1"/>
  <c r="R230" i="4" s="1"/>
  <c r="R231" i="4" s="1"/>
  <c r="P221" i="4"/>
  <c r="P157" i="4"/>
  <c r="K157" i="4"/>
  <c r="K221" i="4"/>
  <c r="L157" i="4"/>
  <c r="L221" i="4"/>
  <c r="H221" i="4"/>
  <c r="H157" i="4"/>
  <c r="Q157" i="4"/>
  <c r="Q221" i="4"/>
  <c r="O221" i="4"/>
  <c r="O157" i="4"/>
  <c r="N212" i="4"/>
  <c r="N214" i="4" s="1"/>
  <c r="N230" i="4" s="1"/>
  <c r="N231" i="4" s="1"/>
  <c r="O223" i="3"/>
  <c r="O245" i="3" s="1"/>
  <c r="P223" i="3"/>
  <c r="P245" i="3" s="1"/>
  <c r="R215" i="3"/>
  <c r="R219" i="3" s="1"/>
  <c r="R223" i="3" s="1"/>
  <c r="R245" i="3" s="1"/>
  <c r="S163" i="3"/>
  <c r="Q232" i="3"/>
  <c r="Q234" i="3" s="1"/>
  <c r="Q174" i="3"/>
  <c r="Q176" i="3" s="1"/>
  <c r="Q163" i="3"/>
  <c r="K174" i="3"/>
  <c r="K176" i="3" s="1"/>
  <c r="K232" i="3"/>
  <c r="K163" i="3"/>
  <c r="I159" i="3"/>
  <c r="I153" i="3"/>
  <c r="O232" i="3"/>
  <c r="O234" i="3" s="1"/>
  <c r="O174" i="3"/>
  <c r="O176" i="3" s="1"/>
  <c r="O163" i="3"/>
  <c r="S212" i="3"/>
  <c r="S214" i="3" s="1"/>
  <c r="S230" i="3" s="1"/>
  <c r="S231" i="3" s="1"/>
  <c r="H232" i="3"/>
  <c r="H174" i="3"/>
  <c r="H176" i="3" s="1"/>
  <c r="G145" i="3"/>
  <c r="G147" i="3" s="1"/>
  <c r="H163" i="3"/>
  <c r="I232" i="3"/>
  <c r="I174" i="3"/>
  <c r="I176" i="3" s="1"/>
  <c r="I163" i="3"/>
  <c r="U83" i="3"/>
  <c r="U90" i="3" s="1"/>
  <c r="U92" i="3" s="1"/>
  <c r="V82" i="3"/>
  <c r="N215" i="3"/>
  <c r="N219" i="3" s="1"/>
  <c r="N223" i="3" s="1"/>
  <c r="N245" i="3" s="1"/>
  <c r="O153" i="3"/>
  <c r="O159" i="3"/>
  <c r="R174" i="3"/>
  <c r="R176" i="3" s="1"/>
  <c r="R232" i="3"/>
  <c r="R234" i="3" s="1"/>
  <c r="T173" i="3"/>
  <c r="T161" i="3"/>
  <c r="T163" i="3" s="1"/>
  <c r="T208" i="3"/>
  <c r="T211" i="3" s="1"/>
  <c r="T229" i="3"/>
  <c r="T96" i="3"/>
  <c r="P232" i="3"/>
  <c r="P174" i="3"/>
  <c r="P176" i="3" s="1"/>
  <c r="P163" i="3"/>
  <c r="U153" i="3"/>
  <c r="U159" i="3"/>
  <c r="U232" i="3"/>
  <c r="U174" i="3"/>
  <c r="M232" i="3"/>
  <c r="M174" i="3"/>
  <c r="M176" i="3" s="1"/>
  <c r="M163" i="3"/>
  <c r="S174" i="3"/>
  <c r="S176" i="3" s="1"/>
  <c r="S232" i="3"/>
  <c r="T174" i="3"/>
  <c r="T232" i="3"/>
  <c r="I213" i="3"/>
  <c r="G186" i="3"/>
  <c r="N232" i="3"/>
  <c r="N234" i="3" s="1"/>
  <c r="N174" i="3"/>
  <c r="N176" i="3" s="1"/>
  <c r="N163" i="3"/>
  <c r="J174" i="3"/>
  <c r="J176" i="3" s="1"/>
  <c r="J232" i="3"/>
  <c r="J163" i="3"/>
  <c r="L174" i="3"/>
  <c r="L176" i="3" s="1"/>
  <c r="L232" i="3"/>
  <c r="L163" i="3"/>
  <c r="P234" i="3"/>
  <c r="Q215" i="3"/>
  <c r="Q219" i="3" s="1"/>
  <c r="Q223" i="3" s="1"/>
  <c r="Q245" i="3" s="1"/>
  <c r="V174" i="3"/>
  <c r="V232" i="3"/>
  <c r="R215" i="1"/>
  <c r="R219" i="1" s="1"/>
  <c r="R223" i="1" s="1"/>
  <c r="R245" i="1" s="1"/>
  <c r="O215" i="1"/>
  <c r="O219" i="1" s="1"/>
  <c r="O223" i="1" s="1"/>
  <c r="O245" i="1" s="1"/>
  <c r="U173" i="1"/>
  <c r="U229" i="1"/>
  <c r="U96" i="1"/>
  <c r="U208" i="1"/>
  <c r="U211" i="1" s="1"/>
  <c r="U161" i="1"/>
  <c r="U163" i="1" s="1"/>
  <c r="O153" i="1"/>
  <c r="O159" i="1"/>
  <c r="Q215" i="1"/>
  <c r="Q219" i="1" s="1"/>
  <c r="Q223" i="1" s="1"/>
  <c r="Q245" i="1" s="1"/>
  <c r="P232" i="1"/>
  <c r="P174" i="1"/>
  <c r="P176" i="1" s="1"/>
  <c r="P163" i="1"/>
  <c r="W82" i="1"/>
  <c r="V83" i="1"/>
  <c r="V90" i="1" s="1"/>
  <c r="V92" i="1" s="1"/>
  <c r="S232" i="1"/>
  <c r="S234" i="1" s="1"/>
  <c r="S174" i="1"/>
  <c r="S176" i="1" s="1"/>
  <c r="Q232" i="1"/>
  <c r="Q234" i="1" s="1"/>
  <c r="Q174" i="1"/>
  <c r="Q176" i="1" s="1"/>
  <c r="Q163" i="1"/>
  <c r="U174" i="1"/>
  <c r="U232" i="1"/>
  <c r="O232" i="1"/>
  <c r="O234" i="1" s="1"/>
  <c r="O174" i="1"/>
  <c r="O176" i="1" s="1"/>
  <c r="O163" i="1"/>
  <c r="P215" i="1"/>
  <c r="P219" i="1" s="1"/>
  <c r="P223" i="1" s="1"/>
  <c r="P245" i="1" s="1"/>
  <c r="N215" i="1"/>
  <c r="N219" i="1" s="1"/>
  <c r="N223" i="1" s="1"/>
  <c r="N245" i="1" s="1"/>
  <c r="S163" i="1"/>
  <c r="U159" i="1"/>
  <c r="U153" i="1"/>
  <c r="T212" i="1"/>
  <c r="T214" i="1" s="1"/>
  <c r="T230" i="1" s="1"/>
  <c r="T231" i="1" s="1"/>
  <c r="P234" i="1"/>
  <c r="V174" i="1"/>
  <c r="V232" i="1"/>
  <c r="R232" i="1"/>
  <c r="R234" i="1" s="1"/>
  <c r="R174" i="1"/>
  <c r="R176" i="1" s="1"/>
  <c r="R163" i="1"/>
  <c r="N174" i="1"/>
  <c r="N176" i="1" s="1"/>
  <c r="N232" i="1"/>
  <c r="N234" i="1" s="1"/>
  <c r="N163" i="1"/>
  <c r="S215" i="1"/>
  <c r="S219" i="1" s="1"/>
  <c r="S223" i="1" s="1"/>
  <c r="S245" i="1" s="1"/>
  <c r="T174" i="1"/>
  <c r="T176" i="1" s="1"/>
  <c r="T232" i="1"/>
  <c r="AB78" i="1"/>
  <c r="AA79" i="1"/>
  <c r="M174" i="1"/>
  <c r="M176" i="1" s="1"/>
  <c r="M232" i="1"/>
  <c r="M163" i="1"/>
  <c r="L174" i="1"/>
  <c r="L176" i="1" s="1"/>
  <c r="L232" i="1"/>
  <c r="L163" i="1"/>
  <c r="H174" i="1"/>
  <c r="H176" i="1" s="1"/>
  <c r="H232" i="1"/>
  <c r="G145" i="1"/>
  <c r="G147" i="1" s="1"/>
  <c r="H163" i="1"/>
  <c r="I153" i="1"/>
  <c r="I159" i="1"/>
  <c r="K174" i="1"/>
  <c r="K176" i="1" s="1"/>
  <c r="K232" i="1"/>
  <c r="K163" i="1"/>
  <c r="J174" i="1"/>
  <c r="J176" i="1" s="1"/>
  <c r="J232" i="1"/>
  <c r="J163" i="1"/>
  <c r="I232" i="1"/>
  <c r="I174" i="1"/>
  <c r="I176" i="1" s="1"/>
  <c r="I163" i="1"/>
  <c r="H194" i="5" l="1"/>
  <c r="M194" i="5"/>
  <c r="L194" i="5"/>
  <c r="J194" i="5"/>
  <c r="K194" i="5"/>
  <c r="I194" i="5"/>
  <c r="P160" i="5"/>
  <c r="P154" i="5"/>
  <c r="J160" i="5"/>
  <c r="J154" i="5"/>
  <c r="G176" i="5"/>
  <c r="G150" i="5"/>
  <c r="Q215" i="4"/>
  <c r="Q219" i="4" s="1"/>
  <c r="Q223" i="4" s="1"/>
  <c r="Q245" i="4" s="1"/>
  <c r="P215" i="4"/>
  <c r="P219" i="4" s="1"/>
  <c r="P223" i="4" s="1"/>
  <c r="P245" i="4" s="1"/>
  <c r="R215" i="4"/>
  <c r="R219" i="4" s="1"/>
  <c r="R223" i="4" s="1"/>
  <c r="R245" i="4" s="1"/>
  <c r="N215" i="4"/>
  <c r="N219" i="4" s="1"/>
  <c r="N223" i="4" s="1"/>
  <c r="N245" i="4" s="1"/>
  <c r="S163" i="4"/>
  <c r="O153" i="4"/>
  <c r="O159" i="4"/>
  <c r="S174" i="4"/>
  <c r="S176" i="4" s="1"/>
  <c r="S232" i="4"/>
  <c r="T174" i="4"/>
  <c r="T232" i="4"/>
  <c r="I232" i="4"/>
  <c r="I174" i="4"/>
  <c r="I176" i="4" s="1"/>
  <c r="I163" i="4"/>
  <c r="O215" i="4"/>
  <c r="O219" i="4" s="1"/>
  <c r="O223" i="4" s="1"/>
  <c r="O245" i="4" s="1"/>
  <c r="J159" i="4"/>
  <c r="J153" i="4"/>
  <c r="O234" i="4"/>
  <c r="V232" i="4"/>
  <c r="V174" i="4"/>
  <c r="H193" i="4"/>
  <c r="M193" i="4"/>
  <c r="I193" i="4"/>
  <c r="J193" i="4"/>
  <c r="K193" i="4"/>
  <c r="L193" i="4"/>
  <c r="T173" i="4"/>
  <c r="T161" i="4"/>
  <c r="T163" i="4" s="1"/>
  <c r="T208" i="4"/>
  <c r="T211" i="4" s="1"/>
  <c r="T229" i="4"/>
  <c r="U96" i="4"/>
  <c r="Q232" i="4"/>
  <c r="Q234" i="4" s="1"/>
  <c r="Q174" i="4"/>
  <c r="Q176" i="4" s="1"/>
  <c r="Q163" i="4"/>
  <c r="S212" i="4"/>
  <c r="S214" i="4" s="1"/>
  <c r="S230" i="4" s="1"/>
  <c r="S231" i="4" s="1"/>
  <c r="S234" i="4" s="1"/>
  <c r="N232" i="4"/>
  <c r="N234" i="4" s="1"/>
  <c r="N174" i="4"/>
  <c r="N176" i="4" s="1"/>
  <c r="N163" i="4"/>
  <c r="L232" i="4"/>
  <c r="L174" i="4"/>
  <c r="L176" i="4" s="1"/>
  <c r="L163" i="4"/>
  <c r="J174" i="4"/>
  <c r="J176" i="4" s="1"/>
  <c r="J232" i="4"/>
  <c r="J163" i="4"/>
  <c r="U153" i="4"/>
  <c r="U159" i="4"/>
  <c r="M174" i="4"/>
  <c r="M176" i="4" s="1"/>
  <c r="M232" i="4"/>
  <c r="M163" i="4"/>
  <c r="U174" i="4"/>
  <c r="U232" i="4"/>
  <c r="P232" i="4"/>
  <c r="P234" i="4" s="1"/>
  <c r="P174" i="4"/>
  <c r="P176" i="4" s="1"/>
  <c r="P163" i="4"/>
  <c r="H232" i="4"/>
  <c r="H174" i="4"/>
  <c r="H176" i="4" s="1"/>
  <c r="G145" i="4"/>
  <c r="G147" i="4" s="1"/>
  <c r="H163" i="4"/>
  <c r="R174" i="4"/>
  <c r="R176" i="4" s="1"/>
  <c r="R232" i="4"/>
  <c r="R234" i="4" s="1"/>
  <c r="O232" i="4"/>
  <c r="O174" i="4"/>
  <c r="O176" i="4" s="1"/>
  <c r="O163" i="4"/>
  <c r="V83" i="4"/>
  <c r="V90" i="4" s="1"/>
  <c r="V92" i="4" s="1"/>
  <c r="W82" i="4"/>
  <c r="R163" i="4"/>
  <c r="K174" i="4"/>
  <c r="K176" i="4" s="1"/>
  <c r="K232" i="4"/>
  <c r="K163" i="4"/>
  <c r="T176" i="3"/>
  <c r="S234" i="3"/>
  <c r="S215" i="3"/>
  <c r="S219" i="3" s="1"/>
  <c r="S223" i="3" s="1"/>
  <c r="S245" i="3" s="1"/>
  <c r="U208" i="3"/>
  <c r="U211" i="3" s="1"/>
  <c r="U229" i="3"/>
  <c r="U173" i="3"/>
  <c r="U176" i="3" s="1"/>
  <c r="U161" i="3"/>
  <c r="U163" i="3" s="1"/>
  <c r="U96" i="3"/>
  <c r="P153" i="3"/>
  <c r="P159" i="3"/>
  <c r="T212" i="3"/>
  <c r="T214" i="3" s="1"/>
  <c r="T230" i="3" s="1"/>
  <c r="T231" i="3" s="1"/>
  <c r="T234" i="3" s="1"/>
  <c r="G175" i="3"/>
  <c r="G149" i="3"/>
  <c r="H193" i="3"/>
  <c r="L193" i="3"/>
  <c r="M193" i="3"/>
  <c r="K193" i="3"/>
  <c r="J193" i="3"/>
  <c r="I193" i="3"/>
  <c r="V153" i="3"/>
  <c r="V159" i="3"/>
  <c r="V83" i="3"/>
  <c r="V90" i="3" s="1"/>
  <c r="V92" i="3" s="1"/>
  <c r="W82" i="3"/>
  <c r="J159" i="3"/>
  <c r="J153" i="3"/>
  <c r="T215" i="1"/>
  <c r="T219" i="1" s="1"/>
  <c r="T223" i="1" s="1"/>
  <c r="T245" i="1" s="1"/>
  <c r="V159" i="1"/>
  <c r="V153" i="1"/>
  <c r="P153" i="1"/>
  <c r="P159" i="1"/>
  <c r="V208" i="1"/>
  <c r="V211" i="1" s="1"/>
  <c r="V229" i="1"/>
  <c r="V161" i="1"/>
  <c r="V163" i="1" s="1"/>
  <c r="V96" i="1"/>
  <c r="V173" i="1"/>
  <c r="V176" i="1" s="1"/>
  <c r="X82" i="1"/>
  <c r="W83" i="1"/>
  <c r="W90" i="1" s="1"/>
  <c r="W92" i="1" s="1"/>
  <c r="U212" i="1"/>
  <c r="U214" i="1" s="1"/>
  <c r="U230" i="1" s="1"/>
  <c r="U231" i="1" s="1"/>
  <c r="U234" i="1" s="1"/>
  <c r="T234" i="1"/>
  <c r="U176" i="1"/>
  <c r="AB79" i="1"/>
  <c r="AC78" i="1"/>
  <c r="J159" i="1"/>
  <c r="J153" i="1"/>
  <c r="G186" i="1"/>
  <c r="M193" i="1" s="1"/>
  <c r="G175" i="1"/>
  <c r="G149" i="1"/>
  <c r="M196" i="5" l="1"/>
  <c r="M211" i="5" s="1"/>
  <c r="Q160" i="5"/>
  <c r="Q154" i="5"/>
  <c r="K160" i="5"/>
  <c r="K154" i="5"/>
  <c r="G177" i="5"/>
  <c r="G223" i="5"/>
  <c r="G224" i="5" s="1"/>
  <c r="K196" i="5"/>
  <c r="K211" i="5" s="1"/>
  <c r="J196" i="5"/>
  <c r="J211" i="5" s="1"/>
  <c r="H196" i="5"/>
  <c r="I196" i="5"/>
  <c r="I211" i="5" s="1"/>
  <c r="B167" i="5"/>
  <c r="L196" i="5"/>
  <c r="L211" i="5" s="1"/>
  <c r="M195" i="4"/>
  <c r="M210" i="4" s="1"/>
  <c r="K159" i="4"/>
  <c r="K153" i="4"/>
  <c r="V153" i="4"/>
  <c r="V159" i="4"/>
  <c r="T212" i="4"/>
  <c r="T214" i="4" s="1"/>
  <c r="T230" i="4" s="1"/>
  <c r="T231" i="4" s="1"/>
  <c r="T234" i="4" s="1"/>
  <c r="H195" i="4"/>
  <c r="J195" i="4"/>
  <c r="J210" i="4" s="1"/>
  <c r="W83" i="4"/>
  <c r="W90" i="4" s="1"/>
  <c r="W92" i="4" s="1"/>
  <c r="X82" i="4"/>
  <c r="P159" i="4"/>
  <c r="P153" i="4"/>
  <c r="K195" i="4"/>
  <c r="K210" i="4" s="1"/>
  <c r="G175" i="4"/>
  <c r="G149" i="4"/>
  <c r="U208" i="4"/>
  <c r="U211" i="4" s="1"/>
  <c r="U229" i="4"/>
  <c r="V96" i="4"/>
  <c r="U173" i="4"/>
  <c r="U176" i="4" s="1"/>
  <c r="U161" i="4"/>
  <c r="U163" i="4" s="1"/>
  <c r="S215" i="4"/>
  <c r="S219" i="4" s="1"/>
  <c r="S223" i="4" s="1"/>
  <c r="S245" i="4" s="1"/>
  <c r="T176" i="4"/>
  <c r="I195" i="4"/>
  <c r="I210" i="4" s="1"/>
  <c r="L195" i="4"/>
  <c r="L210" i="4" s="1"/>
  <c r="G176" i="3"/>
  <c r="G222" i="3"/>
  <c r="G223" i="3" s="1"/>
  <c r="I195" i="3"/>
  <c r="I210" i="3" s="1"/>
  <c r="T215" i="3"/>
  <c r="T219" i="3" s="1"/>
  <c r="T223" i="3" s="1"/>
  <c r="T245" i="3" s="1"/>
  <c r="K159" i="3"/>
  <c r="K153" i="3"/>
  <c r="M195" i="3"/>
  <c r="M210" i="3" s="1"/>
  <c r="U212" i="3"/>
  <c r="U214" i="3" s="1"/>
  <c r="U230" i="3" s="1"/>
  <c r="U231" i="3" s="1"/>
  <c r="U234" i="3" s="1"/>
  <c r="U215" i="3"/>
  <c r="U219" i="3" s="1"/>
  <c r="U223" i="3" s="1"/>
  <c r="U245" i="3" s="1"/>
  <c r="J195" i="3"/>
  <c r="J210" i="3" s="1"/>
  <c r="W83" i="3"/>
  <c r="W90" i="3" s="1"/>
  <c r="W92" i="3" s="1"/>
  <c r="X82" i="3"/>
  <c r="L195" i="3"/>
  <c r="L210" i="3" s="1"/>
  <c r="K195" i="3"/>
  <c r="K210" i="3" s="1"/>
  <c r="V229" i="3"/>
  <c r="V96" i="3"/>
  <c r="V173" i="3"/>
  <c r="V176" i="3" s="1"/>
  <c r="V161" i="3"/>
  <c r="V163" i="3" s="1"/>
  <c r="V208" i="3"/>
  <c r="V211" i="3" s="1"/>
  <c r="H195" i="3"/>
  <c r="Q159" i="3"/>
  <c r="Q153" i="3"/>
  <c r="V212" i="1"/>
  <c r="V214" i="1" s="1"/>
  <c r="V230" i="1" s="1"/>
  <c r="V231" i="1" s="1"/>
  <c r="V234" i="1" s="1"/>
  <c r="U215" i="1"/>
  <c r="U219" i="1" s="1"/>
  <c r="U223" i="1" s="1"/>
  <c r="U245" i="1" s="1"/>
  <c r="W173" i="1"/>
  <c r="W176" i="1" s="1"/>
  <c r="W96" i="1"/>
  <c r="W208" i="1"/>
  <c r="W211" i="1" s="1"/>
  <c r="W212" i="1" s="1"/>
  <c r="W214" i="1" s="1"/>
  <c r="W215" i="1" s="1"/>
  <c r="W219" i="1" s="1"/>
  <c r="W223" i="1" s="1"/>
  <c r="W245" i="1" s="1"/>
  <c r="Q153" i="1"/>
  <c r="Q159" i="1"/>
  <c r="Y82" i="1"/>
  <c r="X83" i="1"/>
  <c r="X90" i="1" s="1"/>
  <c r="X92" i="1" s="1"/>
  <c r="AC79" i="1"/>
  <c r="AD78" i="1"/>
  <c r="M195" i="1"/>
  <c r="M210" i="1" s="1"/>
  <c r="G222" i="1"/>
  <c r="G223" i="1" s="1"/>
  <c r="G176" i="1"/>
  <c r="K159" i="1"/>
  <c r="K153" i="1"/>
  <c r="C166" i="1"/>
  <c r="H193" i="1"/>
  <c r="L193" i="1"/>
  <c r="K193" i="1"/>
  <c r="J193" i="1"/>
  <c r="I193" i="1"/>
  <c r="I221" i="5" l="1"/>
  <c r="I212" i="5"/>
  <c r="L154" i="5"/>
  <c r="L160" i="5"/>
  <c r="L221" i="5"/>
  <c r="L212" i="5"/>
  <c r="J221" i="5"/>
  <c r="J212" i="5"/>
  <c r="K221" i="5"/>
  <c r="K212" i="5"/>
  <c r="H211" i="5"/>
  <c r="H198" i="5"/>
  <c r="G246" i="5"/>
  <c r="M221" i="5"/>
  <c r="M212" i="5"/>
  <c r="C167" i="5"/>
  <c r="T215" i="4"/>
  <c r="T219" i="4" s="1"/>
  <c r="T223" i="4" s="1"/>
  <c r="T245" i="4" s="1"/>
  <c r="I220" i="4"/>
  <c r="I211" i="4"/>
  <c r="V229" i="4"/>
  <c r="V161" i="4"/>
  <c r="V163" i="4" s="1"/>
  <c r="V173" i="4"/>
  <c r="V176" i="4" s="1"/>
  <c r="W96" i="4"/>
  <c r="V208" i="4"/>
  <c r="V211" i="4" s="1"/>
  <c r="J220" i="4"/>
  <c r="J211" i="4"/>
  <c r="G222" i="4"/>
  <c r="G223" i="4" s="1"/>
  <c r="G176" i="4"/>
  <c r="H210" i="4"/>
  <c r="H197" i="4"/>
  <c r="K220" i="4"/>
  <c r="K211" i="4"/>
  <c r="L153" i="4"/>
  <c r="L159" i="4"/>
  <c r="M220" i="4"/>
  <c r="M211" i="4"/>
  <c r="Q159" i="4"/>
  <c r="Q153" i="4"/>
  <c r="U212" i="4"/>
  <c r="U214" i="4" s="1"/>
  <c r="U230" i="4" s="1"/>
  <c r="U231" i="4" s="1"/>
  <c r="U234" i="4" s="1"/>
  <c r="L220" i="4"/>
  <c r="L211" i="4"/>
  <c r="X83" i="4"/>
  <c r="X90" i="4" s="1"/>
  <c r="X92" i="4" s="1"/>
  <c r="Y82" i="4"/>
  <c r="X83" i="3"/>
  <c r="X90" i="3" s="1"/>
  <c r="X92" i="3" s="1"/>
  <c r="Y82" i="3"/>
  <c r="H197" i="3"/>
  <c r="H210" i="3"/>
  <c r="K220" i="3"/>
  <c r="K211" i="3"/>
  <c r="I220" i="3"/>
  <c r="I211" i="3"/>
  <c r="W96" i="3"/>
  <c r="W208" i="3"/>
  <c r="W211" i="3" s="1"/>
  <c r="W173" i="3"/>
  <c r="W176" i="3" s="1"/>
  <c r="B166" i="3"/>
  <c r="C166" i="3"/>
  <c r="L153" i="3"/>
  <c r="L159" i="3"/>
  <c r="J220" i="3"/>
  <c r="J211" i="3"/>
  <c r="R159" i="3"/>
  <c r="R153" i="3"/>
  <c r="G245" i="3"/>
  <c r="V212" i="3"/>
  <c r="V214" i="3" s="1"/>
  <c r="V230" i="3" s="1"/>
  <c r="V231" i="3" s="1"/>
  <c r="V234" i="3" s="1"/>
  <c r="L220" i="3"/>
  <c r="L211" i="3"/>
  <c r="M220" i="3"/>
  <c r="M211" i="3"/>
  <c r="V215" i="1"/>
  <c r="V219" i="1" s="1"/>
  <c r="V223" i="1" s="1"/>
  <c r="V245" i="1" s="1"/>
  <c r="X208" i="1"/>
  <c r="X211" i="1" s="1"/>
  <c r="X212" i="1" s="1"/>
  <c r="X214" i="1" s="1"/>
  <c r="X215" i="1" s="1"/>
  <c r="X219" i="1" s="1"/>
  <c r="X223" i="1" s="1"/>
  <c r="X245" i="1" s="1"/>
  <c r="X173" i="1"/>
  <c r="X176" i="1" s="1"/>
  <c r="X96" i="1"/>
  <c r="Z82" i="1"/>
  <c r="Y83" i="1"/>
  <c r="Y90" i="1" s="1"/>
  <c r="Y92" i="1" s="1"/>
  <c r="R153" i="1"/>
  <c r="R159" i="1"/>
  <c r="AD79" i="1"/>
  <c r="AE78" i="1"/>
  <c r="M220" i="1"/>
  <c r="M211" i="1"/>
  <c r="B166" i="1"/>
  <c r="K195" i="1"/>
  <c r="K210" i="1" s="1"/>
  <c r="L159" i="1"/>
  <c r="L153" i="1"/>
  <c r="J195" i="1"/>
  <c r="J210" i="1" s="1"/>
  <c r="I195" i="1"/>
  <c r="I210" i="1" s="1"/>
  <c r="H195" i="1"/>
  <c r="L195" i="1"/>
  <c r="L210" i="1" s="1"/>
  <c r="G245" i="1"/>
  <c r="I198" i="5" l="1"/>
  <c r="H200" i="5"/>
  <c r="I213" i="5"/>
  <c r="I215" i="5" s="1"/>
  <c r="I231" i="5" s="1"/>
  <c r="I232" i="5" s="1"/>
  <c r="I235" i="5" s="1"/>
  <c r="I216" i="5"/>
  <c r="I220" i="5" s="1"/>
  <c r="I224" i="5" s="1"/>
  <c r="I246" i="5" s="1"/>
  <c r="M213" i="5"/>
  <c r="M215" i="5" s="1"/>
  <c r="M231" i="5" s="1"/>
  <c r="M232" i="5" s="1"/>
  <c r="M235" i="5" s="1"/>
  <c r="J213" i="5"/>
  <c r="J215" i="5" s="1"/>
  <c r="J231" i="5" s="1"/>
  <c r="J232" i="5" s="1"/>
  <c r="J235" i="5" s="1"/>
  <c r="H221" i="5"/>
  <c r="H212" i="5"/>
  <c r="L213" i="5"/>
  <c r="L215" i="5" s="1"/>
  <c r="L231" i="5" s="1"/>
  <c r="L232" i="5" s="1"/>
  <c r="L235" i="5" s="1"/>
  <c r="K213" i="5"/>
  <c r="K215" i="5" s="1"/>
  <c r="K231" i="5" s="1"/>
  <c r="K232" i="5" s="1"/>
  <c r="K235" i="5" s="1"/>
  <c r="M154" i="5"/>
  <c r="M160" i="5"/>
  <c r="U215" i="4"/>
  <c r="U219" i="4" s="1"/>
  <c r="U223" i="4" s="1"/>
  <c r="U245" i="4" s="1"/>
  <c r="I197" i="4"/>
  <c r="H199" i="4"/>
  <c r="V212" i="4"/>
  <c r="V214" i="4" s="1"/>
  <c r="V230" i="4" s="1"/>
  <c r="V231" i="4" s="1"/>
  <c r="V234" i="4" s="1"/>
  <c r="V215" i="4"/>
  <c r="V219" i="4" s="1"/>
  <c r="V223" i="4" s="1"/>
  <c r="V245" i="4" s="1"/>
  <c r="H220" i="4"/>
  <c r="H211" i="4"/>
  <c r="W173" i="4"/>
  <c r="W176" i="4" s="1"/>
  <c r="W208" i="4"/>
  <c r="W211" i="4" s="1"/>
  <c r="X96" i="4"/>
  <c r="G245" i="4"/>
  <c r="I212" i="4"/>
  <c r="I214" i="4" s="1"/>
  <c r="I230" i="4" s="1"/>
  <c r="I231" i="4" s="1"/>
  <c r="I234" i="4" s="1"/>
  <c r="K212" i="4"/>
  <c r="K214" i="4" s="1"/>
  <c r="K230" i="4" s="1"/>
  <c r="K231" i="4" s="1"/>
  <c r="K234" i="4" s="1"/>
  <c r="Y83" i="4"/>
  <c r="Y90" i="4" s="1"/>
  <c r="Y92" i="4" s="1"/>
  <c r="Z82" i="4"/>
  <c r="R159" i="4"/>
  <c r="R153" i="4"/>
  <c r="C166" i="4"/>
  <c r="B166" i="4"/>
  <c r="M212" i="4"/>
  <c r="M214" i="4" s="1"/>
  <c r="M230" i="4" s="1"/>
  <c r="M231" i="4" s="1"/>
  <c r="M234" i="4" s="1"/>
  <c r="M215" i="4"/>
  <c r="M219" i="4" s="1"/>
  <c r="M223" i="4" s="1"/>
  <c r="M245" i="4" s="1"/>
  <c r="L212" i="4"/>
  <c r="L214" i="4" s="1"/>
  <c r="L230" i="4" s="1"/>
  <c r="L231" i="4" s="1"/>
  <c r="L234" i="4" s="1"/>
  <c r="M153" i="4"/>
  <c r="M159" i="4"/>
  <c r="J212" i="4"/>
  <c r="J214" i="4" s="1"/>
  <c r="J230" i="4" s="1"/>
  <c r="J231" i="4" s="1"/>
  <c r="J234" i="4" s="1"/>
  <c r="K212" i="3"/>
  <c r="K214" i="3" s="1"/>
  <c r="K230" i="3" s="1"/>
  <c r="K231" i="3" s="1"/>
  <c r="K234" i="3" s="1"/>
  <c r="I197" i="3"/>
  <c r="H199" i="3"/>
  <c r="M212" i="3"/>
  <c r="M214" i="3" s="1"/>
  <c r="M230" i="3" s="1"/>
  <c r="M231" i="3" s="1"/>
  <c r="M234" i="3" s="1"/>
  <c r="M215" i="3"/>
  <c r="M219" i="3" s="1"/>
  <c r="M223" i="3" s="1"/>
  <c r="M245" i="3" s="1"/>
  <c r="H220" i="3"/>
  <c r="H211" i="3"/>
  <c r="L212" i="3"/>
  <c r="L214" i="3" s="1"/>
  <c r="L230" i="3" s="1"/>
  <c r="L231" i="3" s="1"/>
  <c r="L234" i="3" s="1"/>
  <c r="S159" i="3"/>
  <c r="S153" i="3"/>
  <c r="J212" i="3"/>
  <c r="J214" i="3" s="1"/>
  <c r="J230" i="3" s="1"/>
  <c r="J231" i="3" s="1"/>
  <c r="J234" i="3" s="1"/>
  <c r="W212" i="3"/>
  <c r="W214" i="3" s="1"/>
  <c r="W215" i="3" s="1"/>
  <c r="W219" i="3" s="1"/>
  <c r="W223" i="3" s="1"/>
  <c r="W245" i="3" s="1"/>
  <c r="Y83" i="3"/>
  <c r="Y90" i="3" s="1"/>
  <c r="Y92" i="3" s="1"/>
  <c r="Z82" i="3"/>
  <c r="I212" i="3"/>
  <c r="I214" i="3" s="1"/>
  <c r="I230" i="3" s="1"/>
  <c r="I231" i="3" s="1"/>
  <c r="I234" i="3" s="1"/>
  <c r="M153" i="3"/>
  <c r="M159" i="3"/>
  <c r="V215" i="3"/>
  <c r="V219" i="3" s="1"/>
  <c r="V223" i="3" s="1"/>
  <c r="V245" i="3" s="1"/>
  <c r="X173" i="3"/>
  <c r="X176" i="3" s="1"/>
  <c r="X96" i="3"/>
  <c r="X208" i="3"/>
  <c r="X211" i="3" s="1"/>
  <c r="Y96" i="1"/>
  <c r="Y173" i="1"/>
  <c r="Y176" i="1" s="1"/>
  <c r="Y208" i="1"/>
  <c r="Y211" i="1" s="1"/>
  <c r="Y212" i="1" s="1"/>
  <c r="Y214" i="1" s="1"/>
  <c r="Y215" i="1" s="1"/>
  <c r="Y219" i="1" s="1"/>
  <c r="Y223" i="1" s="1"/>
  <c r="Y245" i="1" s="1"/>
  <c r="AA82" i="1"/>
  <c r="Z83" i="1"/>
  <c r="Z90" i="1" s="1"/>
  <c r="Z92" i="1" s="1"/>
  <c r="S159" i="1"/>
  <c r="S153" i="1"/>
  <c r="AE79" i="1"/>
  <c r="AF78" i="1"/>
  <c r="AF79" i="1" s="1"/>
  <c r="M212" i="1"/>
  <c r="M214" i="1" s="1"/>
  <c r="M230" i="1" s="1"/>
  <c r="M231" i="1" s="1"/>
  <c r="M234" i="1" s="1"/>
  <c r="M153" i="1"/>
  <c r="M159" i="1"/>
  <c r="I220" i="1"/>
  <c r="I211" i="1"/>
  <c r="J220" i="1"/>
  <c r="J211" i="1"/>
  <c r="L220" i="1"/>
  <c r="L211" i="1"/>
  <c r="K220" i="1"/>
  <c r="K211" i="1"/>
  <c r="H197" i="1"/>
  <c r="H210" i="1"/>
  <c r="L216" i="5" l="1"/>
  <c r="L220" i="5" s="1"/>
  <c r="L224" i="5" s="1"/>
  <c r="L246" i="5" s="1"/>
  <c r="H213" i="5"/>
  <c r="H215" i="5" s="1"/>
  <c r="H231" i="5" s="1"/>
  <c r="H232" i="5" s="1"/>
  <c r="H235" i="5" s="1"/>
  <c r="K216" i="5"/>
  <c r="K220" i="5" s="1"/>
  <c r="K224" i="5" s="1"/>
  <c r="K246" i="5" s="1"/>
  <c r="J216" i="5"/>
  <c r="J220" i="5" s="1"/>
  <c r="J224" i="5" s="1"/>
  <c r="J246" i="5" s="1"/>
  <c r="M216" i="5"/>
  <c r="M220" i="5" s="1"/>
  <c r="M224" i="5" s="1"/>
  <c r="M246" i="5" s="1"/>
  <c r="J198" i="5"/>
  <c r="I200" i="5"/>
  <c r="J215" i="4"/>
  <c r="J219" i="4" s="1"/>
  <c r="J223" i="4" s="1"/>
  <c r="J245" i="4" s="1"/>
  <c r="S159" i="4"/>
  <c r="S153" i="4"/>
  <c r="Z83" i="4"/>
  <c r="Z90" i="4" s="1"/>
  <c r="Z92" i="4" s="1"/>
  <c r="AA82" i="4"/>
  <c r="X173" i="4"/>
  <c r="X176" i="4" s="1"/>
  <c r="X208" i="4"/>
  <c r="X211" i="4" s="1"/>
  <c r="Y96" i="4"/>
  <c r="K215" i="4"/>
  <c r="K219" i="4" s="1"/>
  <c r="K223" i="4" s="1"/>
  <c r="K245" i="4" s="1"/>
  <c r="H212" i="4"/>
  <c r="H214" i="4" s="1"/>
  <c r="H230" i="4" s="1"/>
  <c r="H231" i="4" s="1"/>
  <c r="H234" i="4" s="1"/>
  <c r="L215" i="4"/>
  <c r="L219" i="4" s="1"/>
  <c r="L223" i="4" s="1"/>
  <c r="L245" i="4" s="1"/>
  <c r="I215" i="4"/>
  <c r="I219" i="4" s="1"/>
  <c r="I223" i="4" s="1"/>
  <c r="I245" i="4" s="1"/>
  <c r="W212" i="4"/>
  <c r="W214" i="4" s="1"/>
  <c r="W215" i="4" s="1"/>
  <c r="W219" i="4" s="1"/>
  <c r="W223" i="4" s="1"/>
  <c r="W245" i="4" s="1"/>
  <c r="J197" i="4"/>
  <c r="I199" i="4"/>
  <c r="K215" i="3"/>
  <c r="K219" i="3" s="1"/>
  <c r="K223" i="3" s="1"/>
  <c r="K245" i="3" s="1"/>
  <c r="J215" i="3"/>
  <c r="J219" i="3" s="1"/>
  <c r="J223" i="3" s="1"/>
  <c r="J245" i="3" s="1"/>
  <c r="I215" i="3"/>
  <c r="I219" i="3" s="1"/>
  <c r="I223" i="3" s="1"/>
  <c r="I245" i="3" s="1"/>
  <c r="Z83" i="3"/>
  <c r="Z90" i="3" s="1"/>
  <c r="Z92" i="3" s="1"/>
  <c r="AA82" i="3"/>
  <c r="L215" i="3"/>
  <c r="L219" i="3" s="1"/>
  <c r="L223" i="3" s="1"/>
  <c r="L245" i="3" s="1"/>
  <c r="J197" i="3"/>
  <c r="I199" i="3"/>
  <c r="X212" i="3"/>
  <c r="X214" i="3" s="1"/>
  <c r="X215" i="3"/>
  <c r="X219" i="3" s="1"/>
  <c r="X223" i="3" s="1"/>
  <c r="X245" i="3" s="1"/>
  <c r="Y208" i="3"/>
  <c r="Y211" i="3" s="1"/>
  <c r="Y96" i="3"/>
  <c r="Y173" i="3"/>
  <c r="Y176" i="3" s="1"/>
  <c r="H212" i="3"/>
  <c r="H214" i="3" s="1"/>
  <c r="H230" i="3" s="1"/>
  <c r="H231" i="3" s="1"/>
  <c r="H234" i="3" s="1"/>
  <c r="H215" i="3"/>
  <c r="H219" i="3" s="1"/>
  <c r="H223" i="3" s="1"/>
  <c r="AB82" i="1"/>
  <c r="AA83" i="1"/>
  <c r="AA90" i="1" s="1"/>
  <c r="AA92" i="1" s="1"/>
  <c r="Z96" i="1"/>
  <c r="Z173" i="1"/>
  <c r="Z176" i="1" s="1"/>
  <c r="Z208" i="1"/>
  <c r="Z211" i="1" s="1"/>
  <c r="Z212" i="1" s="1"/>
  <c r="Z214" i="1" s="1"/>
  <c r="Z215" i="1" s="1"/>
  <c r="Z219" i="1" s="1"/>
  <c r="Z223" i="1" s="1"/>
  <c r="Z245" i="1" s="1"/>
  <c r="M215" i="1"/>
  <c r="M219" i="1" s="1"/>
  <c r="M223" i="1" s="1"/>
  <c r="M245" i="1" s="1"/>
  <c r="L212" i="1"/>
  <c r="L214" i="1" s="1"/>
  <c r="L230" i="1" s="1"/>
  <c r="L231" i="1" s="1"/>
  <c r="L234" i="1" s="1"/>
  <c r="K212" i="1"/>
  <c r="K214" i="1" s="1"/>
  <c r="K230" i="1" s="1"/>
  <c r="K231" i="1" s="1"/>
  <c r="K234" i="1" s="1"/>
  <c r="J212" i="1"/>
  <c r="J214" i="1" s="1"/>
  <c r="J230" i="1" s="1"/>
  <c r="J231" i="1" s="1"/>
  <c r="J234" i="1" s="1"/>
  <c r="H220" i="1"/>
  <c r="H211" i="1"/>
  <c r="I197" i="1"/>
  <c r="H199" i="1"/>
  <c r="I212" i="1"/>
  <c r="I214" i="1" s="1"/>
  <c r="H216" i="5" l="1"/>
  <c r="H220" i="5" s="1"/>
  <c r="H224" i="5" s="1"/>
  <c r="H246" i="5" s="1"/>
  <c r="K198" i="5"/>
  <c r="J200" i="5"/>
  <c r="C238" i="5"/>
  <c r="B238" i="5"/>
  <c r="X212" i="4"/>
  <c r="X214" i="4" s="1"/>
  <c r="X215" i="4"/>
  <c r="X219" i="4" s="1"/>
  <c r="X223" i="4" s="1"/>
  <c r="X245" i="4" s="1"/>
  <c r="H215" i="4"/>
  <c r="H219" i="4" s="1"/>
  <c r="H223" i="4" s="1"/>
  <c r="AA83" i="4"/>
  <c r="AA90" i="4" s="1"/>
  <c r="AA92" i="4" s="1"/>
  <c r="AB82" i="4"/>
  <c r="Y173" i="4"/>
  <c r="Y176" i="4" s="1"/>
  <c r="Y208" i="4"/>
  <c r="Y211" i="4" s="1"/>
  <c r="Z96" i="4"/>
  <c r="C237" i="4"/>
  <c r="B237" i="4"/>
  <c r="K197" i="4"/>
  <c r="J199" i="4"/>
  <c r="H245" i="3"/>
  <c r="K197" i="3"/>
  <c r="J199" i="3"/>
  <c r="C237" i="3"/>
  <c r="B237" i="3"/>
  <c r="Z173" i="3"/>
  <c r="Z176" i="3" s="1"/>
  <c r="Z96" i="3"/>
  <c r="Z208" i="3"/>
  <c r="Z211" i="3" s="1"/>
  <c r="AA83" i="3"/>
  <c r="AA90" i="3" s="1"/>
  <c r="AA92" i="3" s="1"/>
  <c r="AB82" i="3"/>
  <c r="Y212" i="3"/>
  <c r="Y214" i="3" s="1"/>
  <c r="Y215" i="3" s="1"/>
  <c r="Y219" i="3" s="1"/>
  <c r="Y223" i="3" s="1"/>
  <c r="AA173" i="1"/>
  <c r="AA176" i="1" s="1"/>
  <c r="AA208" i="1"/>
  <c r="AA211" i="1" s="1"/>
  <c r="AA212" i="1" s="1"/>
  <c r="AA214" i="1" s="1"/>
  <c r="AA215" i="1" s="1"/>
  <c r="AA219" i="1" s="1"/>
  <c r="AA223" i="1" s="1"/>
  <c r="AA245" i="1" s="1"/>
  <c r="AA96" i="1"/>
  <c r="AC82" i="1"/>
  <c r="AB83" i="1"/>
  <c r="AB90" i="1" s="1"/>
  <c r="AB92" i="1" s="1"/>
  <c r="I230" i="1"/>
  <c r="I231" i="1" s="1"/>
  <c r="I234" i="1" s="1"/>
  <c r="I215" i="1"/>
  <c r="I219" i="1" s="1"/>
  <c r="I223" i="1" s="1"/>
  <c r="I245" i="1" s="1"/>
  <c r="J215" i="1"/>
  <c r="J219" i="1" s="1"/>
  <c r="J223" i="1" s="1"/>
  <c r="J245" i="1" s="1"/>
  <c r="K215" i="1"/>
  <c r="K219" i="1" s="1"/>
  <c r="K223" i="1" s="1"/>
  <c r="K245" i="1" s="1"/>
  <c r="L215" i="1"/>
  <c r="L219" i="1" s="1"/>
  <c r="L223" i="1" s="1"/>
  <c r="L245" i="1" s="1"/>
  <c r="H212" i="1"/>
  <c r="H214" i="1" s="1"/>
  <c r="H230" i="1" s="1"/>
  <c r="H231" i="1" s="1"/>
  <c r="H234" i="1" s="1"/>
  <c r="J197" i="1"/>
  <c r="I199" i="1"/>
  <c r="L198" i="5" l="1"/>
  <c r="K200" i="5"/>
  <c r="Z173" i="4"/>
  <c r="Z176" i="4" s="1"/>
  <c r="Z208" i="4"/>
  <c r="Z211" i="4" s="1"/>
  <c r="AA96" i="4"/>
  <c r="Y212" i="4"/>
  <c r="Y214" i="4" s="1"/>
  <c r="Y215" i="4" s="1"/>
  <c r="Y219" i="4" s="1"/>
  <c r="Y223" i="4" s="1"/>
  <c r="Y245" i="4" s="1"/>
  <c r="L197" i="4"/>
  <c r="K199" i="4"/>
  <c r="AB83" i="4"/>
  <c r="AB90" i="4" s="1"/>
  <c r="AB92" i="4" s="1"/>
  <c r="AC82" i="4"/>
  <c r="H245" i="4"/>
  <c r="Y245" i="3"/>
  <c r="AB83" i="3"/>
  <c r="AB90" i="3" s="1"/>
  <c r="AB92" i="3" s="1"/>
  <c r="AC82" i="3"/>
  <c r="L197" i="3"/>
  <c r="K199" i="3"/>
  <c r="AA173" i="3"/>
  <c r="AA176" i="3" s="1"/>
  <c r="AA208" i="3"/>
  <c r="AA211" i="3" s="1"/>
  <c r="AA96" i="3"/>
  <c r="Z212" i="3"/>
  <c r="Z214" i="3" s="1"/>
  <c r="Z215" i="3" s="1"/>
  <c r="Z219" i="3" s="1"/>
  <c r="Z223" i="3" s="1"/>
  <c r="AB96" i="1"/>
  <c r="AB208" i="1"/>
  <c r="AB211" i="1" s="1"/>
  <c r="AB212" i="1" s="1"/>
  <c r="AB214" i="1" s="1"/>
  <c r="AB215" i="1" s="1"/>
  <c r="AB219" i="1" s="1"/>
  <c r="AB223" i="1" s="1"/>
  <c r="AB245" i="1" s="1"/>
  <c r="AB173" i="1"/>
  <c r="AB176" i="1" s="1"/>
  <c r="AD82" i="1"/>
  <c r="AC83" i="1"/>
  <c r="AC90" i="1" s="1"/>
  <c r="AC92" i="1" s="1"/>
  <c r="K197" i="1"/>
  <c r="J199" i="1"/>
  <c r="C237" i="1"/>
  <c r="B237" i="1"/>
  <c r="H215" i="1"/>
  <c r="H219" i="1" s="1"/>
  <c r="H223" i="1" s="1"/>
  <c r="M198" i="5" l="1"/>
  <c r="M200" i="5" s="1"/>
  <c r="L200" i="5"/>
  <c r="AA173" i="4"/>
  <c r="AA176" i="4" s="1"/>
  <c r="AA208" i="4"/>
  <c r="AA211" i="4" s="1"/>
  <c r="AB96" i="4"/>
  <c r="M197" i="4"/>
  <c r="M199" i="4" s="1"/>
  <c r="L199" i="4"/>
  <c r="Z212" i="4"/>
  <c r="Z214" i="4" s="1"/>
  <c r="Z215" i="4" s="1"/>
  <c r="Z219" i="4" s="1"/>
  <c r="Z223" i="4" s="1"/>
  <c r="AC83" i="4"/>
  <c r="AC90" i="4" s="1"/>
  <c r="AC92" i="4" s="1"/>
  <c r="AD82" i="4"/>
  <c r="Z245" i="3"/>
  <c r="AB173" i="3"/>
  <c r="AB176" i="3" s="1"/>
  <c r="AB208" i="3"/>
  <c r="AB211" i="3" s="1"/>
  <c r="AB96" i="3"/>
  <c r="AA212" i="3"/>
  <c r="AA214" i="3" s="1"/>
  <c r="AA215" i="3" s="1"/>
  <c r="AA219" i="3" s="1"/>
  <c r="AA223" i="3" s="1"/>
  <c r="AA245" i="3" s="1"/>
  <c r="AC83" i="3"/>
  <c r="AC90" i="3" s="1"/>
  <c r="AC92" i="3" s="1"/>
  <c r="AD82" i="3"/>
  <c r="M197" i="3"/>
  <c r="M199" i="3" s="1"/>
  <c r="L199" i="3"/>
  <c r="AC96" i="1"/>
  <c r="AC208" i="1"/>
  <c r="AC211" i="1" s="1"/>
  <c r="AC212" i="1" s="1"/>
  <c r="AC214" i="1" s="1"/>
  <c r="AC215" i="1" s="1"/>
  <c r="AC219" i="1" s="1"/>
  <c r="AC223" i="1" s="1"/>
  <c r="AC245" i="1" s="1"/>
  <c r="AC173" i="1"/>
  <c r="AC176" i="1" s="1"/>
  <c r="AE82" i="1"/>
  <c r="AD83" i="1"/>
  <c r="AD90" i="1" s="1"/>
  <c r="AD92" i="1" s="1"/>
  <c r="L197" i="1"/>
  <c r="M197" i="1" s="1"/>
  <c r="M199" i="1" s="1"/>
  <c r="K199" i="1"/>
  <c r="H245" i="1"/>
  <c r="Z245" i="4" l="1"/>
  <c r="AD83" i="4"/>
  <c r="AD90" i="4" s="1"/>
  <c r="AD92" i="4" s="1"/>
  <c r="AE82" i="4"/>
  <c r="AB173" i="4"/>
  <c r="AB176" i="4" s="1"/>
  <c r="AB208" i="4"/>
  <c r="AB211" i="4" s="1"/>
  <c r="AC96" i="4"/>
  <c r="AA212" i="4"/>
  <c r="AA214" i="4" s="1"/>
  <c r="AA215" i="4" s="1"/>
  <c r="AA219" i="4" s="1"/>
  <c r="AA223" i="4" s="1"/>
  <c r="AB212" i="3"/>
  <c r="AB214" i="3" s="1"/>
  <c r="AB215" i="3" s="1"/>
  <c r="AB219" i="3" s="1"/>
  <c r="AB223" i="3" s="1"/>
  <c r="AB245" i="3" s="1"/>
  <c r="AD83" i="3"/>
  <c r="AD90" i="3" s="1"/>
  <c r="AD92" i="3" s="1"/>
  <c r="AE82" i="3"/>
  <c r="AC208" i="3"/>
  <c r="AC211" i="3" s="1"/>
  <c r="AC96" i="3"/>
  <c r="AC173" i="3"/>
  <c r="AC176" i="3" s="1"/>
  <c r="AD96" i="1"/>
  <c r="AD208" i="1"/>
  <c r="AD211" i="1" s="1"/>
  <c r="AD212" i="1" s="1"/>
  <c r="AD214" i="1" s="1"/>
  <c r="AD215" i="1" s="1"/>
  <c r="AD219" i="1" s="1"/>
  <c r="AD223" i="1" s="1"/>
  <c r="AD245" i="1" s="1"/>
  <c r="AD173" i="1"/>
  <c r="AD176" i="1" s="1"/>
  <c r="AF82" i="1"/>
  <c r="AF83" i="1" s="1"/>
  <c r="AF90" i="1" s="1"/>
  <c r="AF92" i="1" s="1"/>
  <c r="AE83" i="1"/>
  <c r="AE90" i="1" s="1"/>
  <c r="AE92" i="1" s="1"/>
  <c r="L199" i="1"/>
  <c r="AA245" i="4" l="1"/>
  <c r="AC208" i="4"/>
  <c r="AC211" i="4" s="1"/>
  <c r="AD96" i="4"/>
  <c r="AC173" i="4"/>
  <c r="AC176" i="4" s="1"/>
  <c r="AB212" i="4"/>
  <c r="AB214" i="4" s="1"/>
  <c r="AB215" i="4" s="1"/>
  <c r="AB219" i="4" s="1"/>
  <c r="AB223" i="4" s="1"/>
  <c r="AB245" i="4" s="1"/>
  <c r="AE83" i="4"/>
  <c r="AE90" i="4" s="1"/>
  <c r="AE92" i="4" s="1"/>
  <c r="AF82" i="4"/>
  <c r="AD96" i="3"/>
  <c r="AD173" i="3"/>
  <c r="AD176" i="3" s="1"/>
  <c r="AD208" i="3"/>
  <c r="AD211" i="3" s="1"/>
  <c r="AC212" i="3"/>
  <c r="AC214" i="3" s="1"/>
  <c r="AC215" i="3"/>
  <c r="AC219" i="3" s="1"/>
  <c r="AC223" i="3" s="1"/>
  <c r="AC245" i="3" s="1"/>
  <c r="AE83" i="3"/>
  <c r="AE90" i="3" s="1"/>
  <c r="AE92" i="3" s="1"/>
  <c r="AF82" i="3"/>
  <c r="AF83" i="3" s="1"/>
  <c r="AF90" i="3" s="1"/>
  <c r="AF92" i="3" s="1"/>
  <c r="AF208" i="1"/>
  <c r="AF211" i="1" s="1"/>
  <c r="AF212" i="1" s="1"/>
  <c r="AF214" i="1" s="1"/>
  <c r="AF215" i="1" s="1"/>
  <c r="AF219" i="1" s="1"/>
  <c r="AF223" i="1" s="1"/>
  <c r="AF245" i="1" s="1"/>
  <c r="AF173" i="1"/>
  <c r="AF176" i="1" s="1"/>
  <c r="AF96" i="1"/>
  <c r="AE96" i="1"/>
  <c r="AE208" i="1"/>
  <c r="AE211" i="1" s="1"/>
  <c r="AE212" i="1" s="1"/>
  <c r="AE214" i="1" s="1"/>
  <c r="AE215" i="1" s="1"/>
  <c r="AE219" i="1" s="1"/>
  <c r="AE223" i="1" s="1"/>
  <c r="AE245" i="1" s="1"/>
  <c r="AE173" i="1"/>
  <c r="AE176" i="1" s="1"/>
  <c r="E178" i="1"/>
  <c r="AG82" i="4" l="1"/>
  <c r="AG83" i="4" s="1"/>
  <c r="AG90" i="4" s="1"/>
  <c r="AG92" i="4" s="1"/>
  <c r="AF83" i="4"/>
  <c r="AF90" i="4" s="1"/>
  <c r="AF92" i="4" s="1"/>
  <c r="AD173" i="4"/>
  <c r="AD176" i="4" s="1"/>
  <c r="AD208" i="4"/>
  <c r="AD211" i="4" s="1"/>
  <c r="AE96" i="4"/>
  <c r="AC212" i="4"/>
  <c r="AC214" i="4" s="1"/>
  <c r="AC215" i="4" s="1"/>
  <c r="AC219" i="4" s="1"/>
  <c r="AC223" i="4" s="1"/>
  <c r="AC245" i="4" s="1"/>
  <c r="AD212" i="3"/>
  <c r="AD214" i="3" s="1"/>
  <c r="AD215" i="3" s="1"/>
  <c r="AD219" i="3" s="1"/>
  <c r="AD223" i="3" s="1"/>
  <c r="AD245" i="3" s="1"/>
  <c r="AF173" i="3"/>
  <c r="AF176" i="3" s="1"/>
  <c r="AF208" i="3"/>
  <c r="AF211" i="3" s="1"/>
  <c r="AF96" i="3"/>
  <c r="AE96" i="3"/>
  <c r="AE173" i="3"/>
  <c r="AE176" i="3" s="1"/>
  <c r="AE208" i="3"/>
  <c r="AE211" i="3" s="1"/>
  <c r="E179" i="1"/>
  <c r="E99" i="1"/>
  <c r="E98" i="1"/>
  <c r="E225" i="1"/>
  <c r="E226" i="1"/>
  <c r="E180" i="5" l="1"/>
  <c r="E179" i="5"/>
  <c r="AE208" i="4"/>
  <c r="AE211" i="4" s="1"/>
  <c r="AF96" i="4"/>
  <c r="AE173" i="4"/>
  <c r="AE176" i="4" s="1"/>
  <c r="AF173" i="4"/>
  <c r="AF176" i="4" s="1"/>
  <c r="AF208" i="4"/>
  <c r="AF211" i="4" s="1"/>
  <c r="AG96" i="4"/>
  <c r="AD212" i="4"/>
  <c r="AD214" i="4" s="1"/>
  <c r="AD215" i="4"/>
  <c r="AD219" i="4" s="1"/>
  <c r="AD223" i="4" s="1"/>
  <c r="AD245" i="4" s="1"/>
  <c r="E99" i="3"/>
  <c r="E98" i="3"/>
  <c r="AE212" i="3"/>
  <c r="AE214" i="3" s="1"/>
  <c r="AE215" i="3"/>
  <c r="AE219" i="3" s="1"/>
  <c r="AE223" i="3" s="1"/>
  <c r="AE245" i="3" s="1"/>
  <c r="AF212" i="3"/>
  <c r="AF214" i="3" s="1"/>
  <c r="AF215" i="3" s="1"/>
  <c r="AF219" i="3" s="1"/>
  <c r="AF223" i="3" s="1"/>
  <c r="E178" i="3"/>
  <c r="E179" i="3"/>
  <c r="E247" i="1"/>
  <c r="E248" i="1"/>
  <c r="E227" i="5" l="1"/>
  <c r="E226" i="5"/>
  <c r="E98" i="4"/>
  <c r="E99" i="4"/>
  <c r="E179" i="4"/>
  <c r="E178" i="4"/>
  <c r="AF212" i="4"/>
  <c r="AF214" i="4" s="1"/>
  <c r="AF215" i="4" s="1"/>
  <c r="AF219" i="4" s="1"/>
  <c r="AF223" i="4" s="1"/>
  <c r="AE212" i="4"/>
  <c r="AE214" i="4" s="1"/>
  <c r="AE215" i="4" s="1"/>
  <c r="AE219" i="4" s="1"/>
  <c r="AE223" i="4" s="1"/>
  <c r="AE245" i="4" s="1"/>
  <c r="AF245" i="3"/>
  <c r="E225" i="3"/>
  <c r="E226" i="3"/>
  <c r="E248" i="5" l="1"/>
  <c r="E249" i="5"/>
  <c r="AF245" i="4"/>
  <c r="E226" i="4"/>
  <c r="E225" i="4"/>
  <c r="E248" i="3"/>
  <c r="E247" i="3"/>
  <c r="E248" i="4" l="1"/>
  <c r="E247" i="4"/>
</calcChain>
</file>

<file path=xl/sharedStrings.xml><?xml version="1.0" encoding="utf-8"?>
<sst xmlns="http://schemas.openxmlformats.org/spreadsheetml/2006/main" count="1461" uniqueCount="231">
  <si>
    <t>Technology</t>
  </si>
  <si>
    <t>Capacity</t>
  </si>
  <si>
    <t>Annual Production</t>
  </si>
  <si>
    <t>MWH</t>
  </si>
  <si>
    <t>Heat Rate</t>
  </si>
  <si>
    <t>btu/kwh</t>
  </si>
  <si>
    <t>$/kw/yr</t>
  </si>
  <si>
    <t>$/mwh</t>
  </si>
  <si>
    <t>EPC Capital Cost*</t>
  </si>
  <si>
    <t>$mm</t>
  </si>
  <si>
    <t>Yrs</t>
  </si>
  <si>
    <t>S Curve for EPC Capital Cost*</t>
  </si>
  <si>
    <t>Yr</t>
  </si>
  <si>
    <t>Yr1</t>
  </si>
  <si>
    <t>Yr2</t>
  </si>
  <si>
    <t>Yr3</t>
  </si>
  <si>
    <t>%</t>
  </si>
  <si>
    <t>Economic Life</t>
  </si>
  <si>
    <t>Years</t>
  </si>
  <si>
    <t xml:space="preserve">Tax Rate </t>
  </si>
  <si>
    <t>Federal</t>
  </si>
  <si>
    <t xml:space="preserve"> </t>
  </si>
  <si>
    <t>Tax Depreciation</t>
  </si>
  <si>
    <t>MACRS</t>
  </si>
  <si>
    <t>Year 1</t>
  </si>
  <si>
    <t>Year 2</t>
  </si>
  <si>
    <t>Year 3</t>
  </si>
  <si>
    <t>Year 4</t>
  </si>
  <si>
    <t>Year 5</t>
  </si>
  <si>
    <t>Year 6</t>
  </si>
  <si>
    <t>Tax Depreciation Rate</t>
  </si>
  <si>
    <t>CO2 Emissions</t>
  </si>
  <si>
    <t>lbs/mmbtu</t>
  </si>
  <si>
    <t>Potential Carbon Tax</t>
  </si>
  <si>
    <t>$/ton</t>
  </si>
  <si>
    <t>*Excludes any development fee or interest during construction</t>
  </si>
  <si>
    <t>Development Fee Bonus</t>
  </si>
  <si>
    <t>% EPC Capital Cost</t>
  </si>
  <si>
    <t>Capital Cost Including Development Fee</t>
  </si>
  <si>
    <t>S Curve for Total Capital Cost**</t>
  </si>
  <si>
    <t>**Includes development fee but excludes interest during construction</t>
  </si>
  <si>
    <t>Construction Debt Term</t>
  </si>
  <si>
    <t>Construction Debt Rate</t>
  </si>
  <si>
    <t>Construction Debt Leverage</t>
  </si>
  <si>
    <t>Take-Out Debt Term</t>
  </si>
  <si>
    <t>Take-Out Debt Rate</t>
  </si>
  <si>
    <t>Take-Out Debt Leverage</t>
  </si>
  <si>
    <t>Take Out Debt is to be structrued with a mortgage style amortization with</t>
  </si>
  <si>
    <t>equal debt service amounts over the entire take-out term of 15 years</t>
  </si>
  <si>
    <t>In addition to the capital cost from the EPC contract and the Development Fee Bonus</t>
  </si>
  <si>
    <t>of estimated start up costs along with the final construction finance payments</t>
  </si>
  <si>
    <t>Fuel Contract with NatGas Co</t>
  </si>
  <si>
    <t>$/mmbtu</t>
  </si>
  <si>
    <t>Fuel Price Escalator</t>
  </si>
  <si>
    <t>Off-Take Agreement with Ready Kilowatt Power Co.</t>
  </si>
  <si>
    <t>Initial Offer</t>
  </si>
  <si>
    <t>Response</t>
  </si>
  <si>
    <t>$/MWH</t>
  </si>
  <si>
    <t>Income Statement</t>
  </si>
  <si>
    <t>Project Year</t>
  </si>
  <si>
    <t>Construction Year</t>
  </si>
  <si>
    <t>Revenues</t>
  </si>
  <si>
    <t>Production</t>
  </si>
  <si>
    <t>Price</t>
  </si>
  <si>
    <t>Total Revenues</t>
  </si>
  <si>
    <t>Expense</t>
  </si>
  <si>
    <t>Fixed O&amp;M</t>
  </si>
  <si>
    <t>$/kw</t>
  </si>
  <si>
    <t>Variable O&amp;M</t>
  </si>
  <si>
    <t>Fuel Requirment</t>
  </si>
  <si>
    <t>mmbtus</t>
  </si>
  <si>
    <t xml:space="preserve">Fuel price </t>
  </si>
  <si>
    <t>Fuel Cost</t>
  </si>
  <si>
    <t>Total Expense</t>
  </si>
  <si>
    <t>EBITDA</t>
  </si>
  <si>
    <t>Start-up Opex Reserve</t>
  </si>
  <si>
    <t>Pre-Tax Unlevered Cash Flow</t>
  </si>
  <si>
    <t>Pre-Tax Unlevered IRR</t>
  </si>
  <si>
    <t>NPV 10</t>
  </si>
  <si>
    <t>Finance Plan</t>
  </si>
  <si>
    <t>Construction Debt Program</t>
  </si>
  <si>
    <t>S Curve-Construction Expenditure</t>
  </si>
  <si>
    <t>S Curve</t>
  </si>
  <si>
    <t>Total</t>
  </si>
  <si>
    <t>Construction Finance</t>
  </si>
  <si>
    <t>Constuction Debt BOY</t>
  </si>
  <si>
    <t>Construction Debt Add</t>
  </si>
  <si>
    <t>Construction Debt EOY b4 IDC</t>
  </si>
  <si>
    <t>Construction Debt Ave</t>
  </si>
  <si>
    <t>Interest During Construction (IDC)</t>
  </si>
  <si>
    <t>Consturction Debt EOY a IDC</t>
  </si>
  <si>
    <t>Construction Equity per Year</t>
  </si>
  <si>
    <t>Construction Equity Total</t>
  </si>
  <si>
    <t>Final Construction Capital Structure</t>
  </si>
  <si>
    <t>Debt    @ End of Construction Loan</t>
  </si>
  <si>
    <t>Equity @ End of Construction Loan</t>
  </si>
  <si>
    <t>Total Capital</t>
  </si>
  <si>
    <t>Take-Out Finance Program</t>
  </si>
  <si>
    <t>Take-Out Loan Program</t>
  </si>
  <si>
    <t>Take-Out Capital Structure</t>
  </si>
  <si>
    <t xml:space="preserve">Take-Out Debt </t>
  </si>
  <si>
    <t>Equity EOY Construction Loan</t>
  </si>
  <si>
    <t>True-Up Equity</t>
  </si>
  <si>
    <t>Take Out Equity</t>
  </si>
  <si>
    <t>Total Take-Out Capital</t>
  </si>
  <si>
    <t>Additional Equity Injections Pre-COD</t>
  </si>
  <si>
    <t>Debt Service Reserve</t>
  </si>
  <si>
    <t>Months</t>
  </si>
  <si>
    <t>Start Up Opex</t>
  </si>
  <si>
    <t>Additional Equity</t>
  </si>
  <si>
    <t>Total Equity at FID</t>
  </si>
  <si>
    <t>Take-Out Loan Schedule</t>
  </si>
  <si>
    <t>Debt Principal BOY</t>
  </si>
  <si>
    <t>Take-Out Debt Principal</t>
  </si>
  <si>
    <t>Take-Out Debt Interest</t>
  </si>
  <si>
    <t>Take-Out Debt Service</t>
  </si>
  <si>
    <t>Debt Principal EOY</t>
  </si>
  <si>
    <t>Take-Out Pre-Tax DSCR</t>
  </si>
  <si>
    <t>.xx</t>
  </si>
  <si>
    <t>Min</t>
  </si>
  <si>
    <t>Ave</t>
  </si>
  <si>
    <t>Pre-Tax Levered Cash Flow</t>
  </si>
  <si>
    <t>Consturction Year</t>
  </si>
  <si>
    <t>Debt service</t>
  </si>
  <si>
    <t>Equity</t>
  </si>
  <si>
    <t>Pre-Tax Levered IRR</t>
  </si>
  <si>
    <t>Pre-Tax Levered NPV 10</t>
  </si>
  <si>
    <t>Depreciation Calculations</t>
  </si>
  <si>
    <t>Gross Investment</t>
  </si>
  <si>
    <t>Take-Out Capital</t>
  </si>
  <si>
    <t>Additonal Equity Pre-COD</t>
  </si>
  <si>
    <t>Total Gross Investment</t>
  </si>
  <si>
    <t>Depreciation Period</t>
  </si>
  <si>
    <t>Depreciation Rate</t>
  </si>
  <si>
    <t>Cumulative Depreciation</t>
  </si>
  <si>
    <t>Net Investment</t>
  </si>
  <si>
    <t>After-Tax Income</t>
  </si>
  <si>
    <t>Interest Expense</t>
  </si>
  <si>
    <t>Depreciation</t>
  </si>
  <si>
    <t>EBT</t>
  </si>
  <si>
    <t>Federal Tax</t>
  </si>
  <si>
    <t xml:space="preserve">Tax Credit </t>
  </si>
  <si>
    <t>Federal Tax a/ Credit</t>
  </si>
  <si>
    <t xml:space="preserve">Net Income </t>
  </si>
  <si>
    <t>Net Cash Flow</t>
  </si>
  <si>
    <t>Net Income</t>
  </si>
  <si>
    <t>Plus: Depreciation</t>
  </si>
  <si>
    <t>Less: Debt Repaid</t>
  </si>
  <si>
    <t>Less: Equity</t>
  </si>
  <si>
    <t>After Tax Cash Flow</t>
  </si>
  <si>
    <t>AT-Levered IRR</t>
  </si>
  <si>
    <t>AT-Levered NPV10</t>
  </si>
  <si>
    <t>After Tax DSCR</t>
  </si>
  <si>
    <t>Less: Federal Taxes</t>
  </si>
  <si>
    <t>EBITDA - Federal Taxes</t>
  </si>
  <si>
    <t>Debt Service</t>
  </si>
  <si>
    <t>Carbon Emmissions</t>
  </si>
  <si>
    <t>Carbon Emissions tons CO2</t>
  </si>
  <si>
    <t>mm tons</t>
  </si>
  <si>
    <t>Emissions 25 years mm tons</t>
  </si>
  <si>
    <t>Potential Carbon Tax Cost</t>
  </si>
  <si>
    <t xml:space="preserve">Potential Carbon Tax  </t>
  </si>
  <si>
    <t>Revised AT Net Cash Flow</t>
  </si>
  <si>
    <t>Revised IRR</t>
  </si>
  <si>
    <t>Revised NPV</t>
  </si>
  <si>
    <t xml:space="preserve">In Class Case Study Model </t>
  </si>
  <si>
    <t>Construction Finance  and Take Out Finance</t>
  </si>
  <si>
    <t xml:space="preserve">fund a 6 month debt service reserve and six months </t>
  </si>
  <si>
    <t>Case Study Base Data</t>
  </si>
  <si>
    <t>Class Case Study</t>
  </si>
  <si>
    <t>Natural Gas</t>
  </si>
  <si>
    <t>Units</t>
  </si>
  <si>
    <t>Solar</t>
  </si>
  <si>
    <t>Wind</t>
  </si>
  <si>
    <t>NG CT</t>
  </si>
  <si>
    <t>NG CCGT</t>
  </si>
  <si>
    <t>Capacity Units</t>
  </si>
  <si>
    <t>MW</t>
  </si>
  <si>
    <t>Location</t>
  </si>
  <si>
    <t>Arizona</t>
  </si>
  <si>
    <t>Texas</t>
  </si>
  <si>
    <t>Capital Cost: Note 1</t>
  </si>
  <si>
    <t>Heat Rate/Fuel Rate</t>
  </si>
  <si>
    <t xml:space="preserve">Lead Time </t>
  </si>
  <si>
    <t>Yr 1</t>
  </si>
  <si>
    <t>Yr 2</t>
  </si>
  <si>
    <t>Yr 3</t>
  </si>
  <si>
    <t>Capacity Factor: Note 2</t>
  </si>
  <si>
    <t>Fuel Costs: Note 3</t>
  </si>
  <si>
    <t>Note 3</t>
  </si>
  <si>
    <t>Price Inflation Rate</t>
  </si>
  <si>
    <t>Cost Inflation Rate</t>
  </si>
  <si>
    <t>Tax Credit/</t>
  </si>
  <si>
    <t>Development Fee</t>
  </si>
  <si>
    <t>Note 1</t>
  </si>
  <si>
    <t>EPC Cost including contingency but excluding the Development Fee -----  Start of S Curve 2025</t>
  </si>
  <si>
    <t>Note 2</t>
  </si>
  <si>
    <t>Tucson Az Use PV Watts to check the capacity factor</t>
  </si>
  <si>
    <t>Solar, Wind</t>
  </si>
  <si>
    <t>Yr 4</t>
  </si>
  <si>
    <t>Yr 5</t>
  </si>
  <si>
    <t>Yr 6</t>
  </si>
  <si>
    <t>GT, CCGT</t>
  </si>
  <si>
    <t>Yr 11</t>
  </si>
  <si>
    <t>Yr 12</t>
  </si>
  <si>
    <t>Yr 13</t>
  </si>
  <si>
    <t>Yr 14</t>
  </si>
  <si>
    <t>Yr 15</t>
  </si>
  <si>
    <t>Yr 16</t>
  </si>
  <si>
    <t>Base Price in 2025</t>
  </si>
  <si>
    <t>Project Finanacial and Operating Plan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</si>
  <si>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</si>
  <si>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</si>
  <si>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</si>
  <si>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</si>
  <si>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</si>
  <si>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</si>
  <si>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</si>
  <si>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</si>
  <si>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</si>
  <si>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</si>
  <si>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</si>
  <si>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</si>
  <si>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S Curve Year One</t>
  </si>
  <si>
    <t>S Curve Year Two</t>
  </si>
  <si>
    <t>S Curve Year Three</t>
  </si>
  <si>
    <t>Y1</t>
  </si>
  <si>
    <t>Wind Energy Turbine</t>
  </si>
  <si>
    <t>Performance Liquidated Damage per 10%</t>
  </si>
  <si>
    <t>Loss per calendar year of delay(365 days)</t>
  </si>
  <si>
    <t>Residual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</si>
</sst>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%"/>
    <numFmt numFmtId="166" formatCode="&quot;$&quot;#,##0.00"/>
    <numFmt numFmtId="167" formatCode="_(* #,##0_);_(* \(#,##0\);_(* &quot;-&quot;??_);_(@_)"/>
    <numFmt numFmtId="168" formatCode="_(&quot;$&quot;* #,##0.0_);_(&quot;$&quot;* \(#,##0.0\);_(&quot;$&quot;* &quot;-&quot;??_);_(@_)"/>
    <numFmt numFmtId="169" formatCode="&quot;$&quot;#,##0.0"/>
    <numFmt numFmtId="170" formatCode="&quot;$&quot;#,##0.0_);[Red]\(&quot;$&quot;#,##0.0\)"/>
    <numFmt numFmtId="171" formatCode="0.0"/>
    <numFmt numFmtId="172" formatCode="_(&quot;$&quot;* #,##0_);_(&quot;$&quot;* \(#,##0\);_(&quot;$&quot;* &quot;-&quot;??_);_(@_)"/>
    <numFmt numFmtId="173" formatCode="0.00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9" fontId="0" fillId="2" borderId="0" xfId="3" applyFont="1" applyFill="1" applyAlignment="1">
      <alignment horizontal="center"/>
    </xf>
    <xf numFmtId="164" fontId="0" fillId="2" borderId="0" xfId="2" applyNumberFormat="1" applyFont="1" applyFill="1" applyAlignment="1">
      <alignment horizontal="center"/>
    </xf>
    <xf numFmtId="165" fontId="0" fillId="2" borderId="0" xfId="3" applyNumberFormat="1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3" applyNumberFormat="1" applyFont="1" applyFill="1" applyAlignment="1">
      <alignment horizontal="center"/>
    </xf>
    <xf numFmtId="9" fontId="0" fillId="2" borderId="0" xfId="3" applyFont="1" applyFill="1"/>
    <xf numFmtId="10" fontId="0" fillId="2" borderId="0" xfId="3" applyNumberFormat="1" applyFont="1" applyFill="1" applyAlignment="1">
      <alignment horizontal="center"/>
    </xf>
    <xf numFmtId="10" fontId="0" fillId="2" borderId="0" xfId="0" applyNumberFormat="1" applyFill="1" applyAlignment="1">
      <alignment horizontal="center"/>
    </xf>
    <xf numFmtId="10" fontId="0" fillId="0" borderId="0" xfId="3" applyNumberFormat="1" applyFont="1" applyFill="1"/>
    <xf numFmtId="10" fontId="0" fillId="0" borderId="0" xfId="0" applyNumberFormat="1"/>
    <xf numFmtId="9" fontId="0" fillId="0" borderId="0" xfId="3" applyFont="1" applyFill="1"/>
    <xf numFmtId="9" fontId="0" fillId="3" borderId="1" xfId="3" applyFont="1" applyFill="1" applyBorder="1" applyAlignment="1">
      <alignment horizontal="center"/>
    </xf>
    <xf numFmtId="164" fontId="0" fillId="3" borderId="2" xfId="2" applyNumberFormat="1" applyFont="1" applyFill="1" applyBorder="1" applyAlignment="1">
      <alignment horizontal="center"/>
    </xf>
    <xf numFmtId="164" fontId="0" fillId="3" borderId="3" xfId="3" applyNumberFormat="1" applyFont="1" applyFill="1" applyBorder="1" applyAlignment="1">
      <alignment horizontal="center"/>
    </xf>
    <xf numFmtId="9" fontId="0" fillId="0" borderId="0" xfId="3" applyFont="1" applyFill="1" applyAlignment="1">
      <alignment horizontal="center"/>
    </xf>
    <xf numFmtId="166" fontId="0" fillId="3" borderId="3" xfId="2" applyNumberFormat="1" applyFont="1" applyFill="1" applyBorder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166" fontId="0" fillId="3" borderId="1" xfId="2" applyNumberFormat="1" applyFont="1" applyFill="1" applyBorder="1" applyAlignment="1">
      <alignment horizontal="center"/>
    </xf>
    <xf numFmtId="165" fontId="0" fillId="0" borderId="0" xfId="3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167" fontId="6" fillId="3" borderId="3" xfId="1" applyNumberFormat="1" applyFont="1" applyFill="1" applyBorder="1"/>
    <xf numFmtId="166" fontId="6" fillId="3" borderId="3" xfId="2" applyNumberFormat="1" applyFont="1" applyFill="1" applyBorder="1"/>
    <xf numFmtId="44" fontId="6" fillId="3" borderId="3" xfId="2" applyFont="1" applyFill="1" applyBorder="1"/>
    <xf numFmtId="0" fontId="6" fillId="0" borderId="0" xfId="0" applyFont="1"/>
    <xf numFmtId="168" fontId="6" fillId="3" borderId="3" xfId="0" applyNumberFormat="1" applyFont="1" applyFill="1" applyBorder="1"/>
    <xf numFmtId="0" fontId="0" fillId="3" borderId="3" xfId="0" applyFill="1" applyBorder="1"/>
    <xf numFmtId="44" fontId="0" fillId="3" borderId="3" xfId="2" applyFont="1" applyFill="1" applyBorder="1"/>
    <xf numFmtId="44" fontId="0" fillId="3" borderId="4" xfId="2" applyFont="1" applyFill="1" applyBorder="1"/>
    <xf numFmtId="44" fontId="0" fillId="3" borderId="3" xfId="0" applyNumberFormat="1" applyFill="1" applyBorder="1"/>
    <xf numFmtId="167" fontId="0" fillId="3" borderId="3" xfId="1" applyNumberFormat="1" applyFont="1" applyFill="1" applyBorder="1"/>
    <xf numFmtId="168" fontId="0" fillId="3" borderId="3" xfId="2" applyNumberFormat="1" applyFont="1" applyFill="1" applyBorder="1"/>
    <xf numFmtId="168" fontId="0" fillId="3" borderId="3" xfId="0" applyNumberFormat="1" applyFill="1" applyBorder="1"/>
    <xf numFmtId="168" fontId="7" fillId="2" borderId="0" xfId="0" applyNumberFormat="1" applyFont="1" applyFill="1"/>
    <xf numFmtId="169" fontId="0" fillId="3" borderId="3" xfId="0" applyNumberFormat="1" applyFill="1" applyBorder="1"/>
    <xf numFmtId="170" fontId="0" fillId="3" borderId="3" xfId="0" applyNumberFormat="1" applyFill="1" applyBorder="1"/>
    <xf numFmtId="1" fontId="0" fillId="3" borderId="3" xfId="0" applyNumberFormat="1" applyFill="1" applyBorder="1" applyAlignment="1">
      <alignment horizontal="center"/>
    </xf>
    <xf numFmtId="9" fontId="0" fillId="3" borderId="3" xfId="3" applyFont="1" applyFill="1" applyBorder="1" applyAlignment="1">
      <alignment horizontal="center"/>
    </xf>
    <xf numFmtId="9" fontId="0" fillId="3" borderId="3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44" fontId="0" fillId="0" borderId="0" xfId="2" applyFont="1" applyFill="1"/>
    <xf numFmtId="171" fontId="0" fillId="0" borderId="0" xfId="0" applyNumberFormat="1"/>
    <xf numFmtId="0" fontId="0" fillId="3" borderId="3" xfId="0" applyFill="1" applyBorder="1" applyAlignment="1">
      <alignment horizontal="center"/>
    </xf>
    <xf numFmtId="8" fontId="0" fillId="3" borderId="3" xfId="0" applyNumberFormat="1" applyFill="1" applyBorder="1"/>
    <xf numFmtId="44" fontId="0" fillId="0" borderId="0" xfId="0" applyNumberFormat="1"/>
    <xf numFmtId="1" fontId="0" fillId="0" borderId="0" xfId="2" applyNumberFormat="1" applyFont="1" applyFill="1" applyAlignment="1">
      <alignment horizontal="center"/>
    </xf>
    <xf numFmtId="2" fontId="0" fillId="3" borderId="3" xfId="0" applyNumberFormat="1" applyFill="1" applyBorder="1"/>
    <xf numFmtId="2" fontId="0" fillId="3" borderId="3" xfId="0" applyNumberFormat="1" applyFill="1" applyBorder="1" applyAlignment="1">
      <alignment horizontal="center"/>
    </xf>
    <xf numFmtId="8" fontId="6" fillId="3" borderId="3" xfId="0" applyNumberFormat="1" applyFont="1" applyFill="1" applyBorder="1"/>
    <xf numFmtId="44" fontId="6" fillId="3" borderId="3" xfId="0" applyNumberFormat="1" applyFont="1" applyFill="1" applyBorder="1"/>
    <xf numFmtId="10" fontId="0" fillId="3" borderId="3" xfId="0" applyNumberFormat="1" applyFill="1" applyBorder="1" applyAlignment="1">
      <alignment horizontal="center"/>
    </xf>
    <xf numFmtId="172" fontId="0" fillId="3" borderId="3" xfId="0" applyNumberFormat="1" applyFill="1" applyBorder="1"/>
    <xf numFmtId="10" fontId="0" fillId="3" borderId="3" xfId="0" applyNumberFormat="1" applyFill="1" applyBorder="1"/>
    <xf numFmtId="8" fontId="0" fillId="3" borderId="3" xfId="0" applyNumberFormat="1" applyFill="1" applyBorder="1" applyAlignment="1">
      <alignment horizontal="center"/>
    </xf>
    <xf numFmtId="2" fontId="0" fillId="3" borderId="3" xfId="2" applyNumberFormat="1" applyFont="1" applyFill="1" applyBorder="1"/>
    <xf numFmtId="166" fontId="0" fillId="3" borderId="3" xfId="0" applyNumberFormat="1" applyFill="1" applyBorder="1"/>
    <xf numFmtId="165" fontId="0" fillId="3" borderId="3" xfId="3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9" fontId="0" fillId="2" borderId="0" xfId="3" applyFont="1" applyFill="1" applyBorder="1" applyAlignment="1">
      <alignment horizontal="center"/>
    </xf>
    <xf numFmtId="165" fontId="0" fillId="2" borderId="0" xfId="3" applyNumberFormat="1" applyFont="1" applyFill="1" applyBorder="1" applyAlignment="1">
      <alignment horizontal="center"/>
    </xf>
    <xf numFmtId="2" fontId="0" fillId="2" borderId="0" xfId="3" applyNumberFormat="1" applyFont="1" applyFill="1" applyBorder="1" applyAlignment="1">
      <alignment horizontal="center"/>
    </xf>
    <xf numFmtId="2" fontId="0" fillId="2" borderId="0" xfId="3" applyNumberFormat="1" applyFont="1" applyFill="1" applyAlignment="1">
      <alignment horizontal="center"/>
    </xf>
    <xf numFmtId="0" fontId="0" fillId="2" borderId="0" xfId="0" applyFill="1" applyAlignment="1">
      <alignment horizontal="left"/>
    </xf>
    <xf numFmtId="165" fontId="1" fillId="2" borderId="0" xfId="3" applyNumberFormat="1" applyFont="1" applyFill="1" applyAlignment="1">
      <alignment horizontal="center"/>
    </xf>
    <xf numFmtId="165" fontId="0" fillId="2" borderId="5" xfId="3" applyNumberFormat="1" applyFont="1" applyFill="1" applyBorder="1" applyAlignment="1">
      <alignment horizontal="center"/>
    </xf>
    <xf numFmtId="173" fontId="0" fillId="3" borderId="3" xfId="0" applyNumberFormat="1" applyFill="1" applyBorder="1"/>
    <xf numFmtId="173" fontId="0" fillId="3" borderId="3" xfId="0" applyNumberFormat="1" applyFill="1" applyBorder="1" applyAlignment="1">
      <alignment horizontal="center"/>
    </xf>
    <xf numFmtId="171" fontId="0" fillId="3" borderId="3" xfId="0" applyNumberFormat="1" applyFill="1" applyBorder="1"/>
    <xf numFmtId="170" fontId="0" fillId="0" borderId="0" xfId="0" applyNumberFormat="1"/>
    <xf numFmtId="171" fontId="0" fillId="3" borderId="0" xfId="0" applyNumberFormat="1" applyFill="1"/>
    <xf numFmtId="166" fontId="0" fillId="0" borderId="0" xfId="0" applyNumberFormat="1"/>
    <xf numFmtId="8" fontId="0" fillId="0" borderId="0" xfId="0" applyNumberFormat="1"/>
    <xf numFmtId="169" fontId="0" fillId="3" borderId="0" xfId="0" applyNumberFormat="1" applyFill="1"/>
    <xf numFmtId="169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8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niversity%20of%20Houston%20(UH)/Lectures%20Econ%206345/Group%20Project%20Data%20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ata"/>
      <sheetName val="CC Model"/>
      <sheetName val="Solar Model"/>
      <sheetName val="CT Model"/>
      <sheetName val="Wind Model"/>
    </sheetNames>
    <sheetDataSet>
      <sheetData sheetId="0">
        <row r="5">
          <cell r="D5" t="str">
            <v>MW</v>
          </cell>
        </row>
        <row r="6">
          <cell r="D6" t="str">
            <v>$/kw</v>
          </cell>
        </row>
        <row r="15">
          <cell r="D15" t="str">
            <v>%</v>
          </cell>
        </row>
      </sheetData>
      <sheetData sheetId="1">
        <row r="14">
          <cell r="E14">
            <v>735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CB6A61-51EE-4563-8671-C7E1D2B8F510}" name="Table1" displayName="Table1" ref="A1:L41" totalsRowShown="0" headerRowDxfId="7">
  <autoFilter ref="A1:L41" xr:uid="{A6CB6A61-51EE-4563-8671-C7E1D2B8F510}"/>
  <tableColumns count="12">
    <tableColumn id="1" xr3:uid="{F303BF57-DA15-4F48-A5AE-44F77BEDFD67}" name="Column1" dataDxfId="6"/>
    <tableColumn id="2" xr3:uid="{BBB51BA7-B0D9-4507-8E89-88BAF411B698}" name="Column2" dataDxfId="5"/>
    <tableColumn id="3" xr3:uid="{7F938D7B-4813-400E-891E-65D7EBF0D37A}" name="Column3" dataDxfId="4"/>
    <tableColumn id="4" xr3:uid="{47072805-4FD1-4E16-9CBB-ABBF26FE0547}" name="Column4" dataDxfId="3"/>
    <tableColumn id="5" xr3:uid="{208A7EC1-2B19-4FA2-A152-9F22ACF42EF7}" name="Column5" dataDxfId="2"/>
    <tableColumn id="6" xr3:uid="{DA33D0BB-680E-4F03-8E6D-63874F918412}" name="Column6"/>
    <tableColumn id="7" xr3:uid="{C2A8DD9A-2AA6-4762-B5A0-D62CD14FA765}" name="Column7"/>
    <tableColumn id="8" xr3:uid="{B8B41CF8-7463-45B3-814D-A824F4A5C9D6}" name="Column8"/>
    <tableColumn id="9" xr3:uid="{A9AB6180-34FE-46B7-9E45-AEBDF71A8A97}" name="Column9"/>
    <tableColumn id="10" xr3:uid="{B0C4439D-598E-4A09-BE18-DC895563F130}" name="Column10" dataDxfId="1"/>
    <tableColumn id="11" xr3:uid="{8A4821B3-5049-4EE6-AB8C-1990C8E77E5A}" name="Column11"/>
    <tableColumn id="12" xr3:uid="{CF4D56AC-5D26-4BB5-8B2B-000D880D735C}" name="Column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3020-0D4D-4037-8C69-4BB7BD915177}">
  <dimension ref="A1:AF248"/>
  <sheetViews>
    <sheetView zoomScale="85" workbookViewId="0">
      <pane xSplit="1" topLeftCell="B1" activePane="topRight" state="frozen"/>
      <selection pane="topRight" activeCell="E5" sqref="E5"/>
    </sheetView>
  </sheetViews>
  <sheetFormatPr baseColWidth="10" defaultColWidth="8.83203125" defaultRowHeight="15" x14ac:dyDescent="0.2"/>
  <cols>
    <col min="1" max="1" width="33.5" customWidth="1"/>
    <col min="5" max="5" width="9.83203125" customWidth="1"/>
    <col min="6" max="7" width="11.1640625" customWidth="1"/>
    <col min="8" max="8" width="14.1640625" bestFit="1" customWidth="1"/>
    <col min="9" max="32" width="13.1640625" bestFit="1" customWidth="1"/>
  </cols>
  <sheetData>
    <row r="1" spans="1:7" x14ac:dyDescent="0.2">
      <c r="A1" s="1" t="s">
        <v>165</v>
      </c>
      <c r="F1" s="2" t="s">
        <v>21</v>
      </c>
      <c r="G1" s="2"/>
    </row>
    <row r="3" spans="1:7" x14ac:dyDescent="0.2">
      <c r="A3" s="3" t="s">
        <v>0</v>
      </c>
      <c r="B3" s="4"/>
      <c r="C3" s="5" t="s">
        <v>227</v>
      </c>
      <c r="D3" s="4"/>
      <c r="E3" s="4"/>
      <c r="F3" s="4"/>
      <c r="G3" s="4"/>
    </row>
    <row r="4" spans="1:7" x14ac:dyDescent="0.2">
      <c r="A4" s="4"/>
      <c r="B4" s="4"/>
      <c r="C4" s="4"/>
      <c r="D4" s="4"/>
      <c r="E4" s="4"/>
      <c r="F4" s="4"/>
      <c r="G4" s="4"/>
    </row>
    <row r="5" spans="1:7" x14ac:dyDescent="0.2">
      <c r="A5" s="4" t="s">
        <v>1</v>
      </c>
      <c r="B5" s="4"/>
      <c r="C5" s="6" t="str">
        <f>+'[1]Base Data'!D5</f>
        <v>MW</v>
      </c>
      <c r="D5" s="4"/>
      <c r="E5" s="6">
        <v>72</v>
      </c>
      <c r="F5" s="4"/>
      <c r="G5" s="4"/>
    </row>
    <row r="6" spans="1:7" x14ac:dyDescent="0.2">
      <c r="A6" s="4" t="s">
        <v>187</v>
      </c>
      <c r="B6" s="4"/>
      <c r="C6" s="6" t="str">
        <f>+'[1]Base Data'!D15</f>
        <v>%</v>
      </c>
      <c r="D6" s="4"/>
      <c r="E6" s="6">
        <f>VLOOKUP('Performance LD'!A6,Table1[#All],8,FALSE)</f>
        <v>0.4</v>
      </c>
      <c r="F6" s="4"/>
      <c r="G6" s="4"/>
    </row>
    <row r="7" spans="1:7" x14ac:dyDescent="0.2">
      <c r="A7" s="4" t="s">
        <v>2</v>
      </c>
      <c r="B7" s="4"/>
      <c r="C7" s="6" t="s">
        <v>3</v>
      </c>
      <c r="D7" s="4"/>
      <c r="E7" s="6">
        <f>+E5*8760*E6</f>
        <v>252288</v>
      </c>
      <c r="F7" s="4"/>
      <c r="G7" s="4"/>
    </row>
    <row r="8" spans="1:7" x14ac:dyDescent="0.2">
      <c r="A8" s="4" t="s">
        <v>182</v>
      </c>
      <c r="B8" s="4"/>
      <c r="C8" s="6" t="s">
        <v>5</v>
      </c>
      <c r="D8" s="4"/>
      <c r="E8" s="6">
        <f>VLOOKUP('Performance LD'!A8,Table1[#All],8,FALSE)</f>
        <v>0</v>
      </c>
      <c r="F8" s="4"/>
      <c r="G8" s="4"/>
    </row>
    <row r="9" spans="1:7" x14ac:dyDescent="0.2">
      <c r="A9" s="4" t="s">
        <v>66</v>
      </c>
      <c r="B9" s="4"/>
      <c r="C9" s="6" t="s">
        <v>6</v>
      </c>
      <c r="D9" s="4"/>
      <c r="E9" s="6">
        <f>VLOOKUP('Performance LD'!A9,Table1[#All],8,FALSE)</f>
        <v>42</v>
      </c>
      <c r="F9" s="4"/>
      <c r="G9" s="4"/>
    </row>
    <row r="10" spans="1:7" x14ac:dyDescent="0.2">
      <c r="A10" s="4" t="s">
        <v>68</v>
      </c>
      <c r="B10" s="4"/>
      <c r="C10" s="6" t="s">
        <v>7</v>
      </c>
      <c r="D10" s="4"/>
      <c r="E10" s="6">
        <f>VLOOKUP('Performance LD'!A10,Table1[#All],8,FALSE)</f>
        <v>0</v>
      </c>
      <c r="F10" s="4"/>
      <c r="G10" s="4"/>
    </row>
    <row r="11" spans="1:7" x14ac:dyDescent="0.2">
      <c r="A11" s="4" t="s">
        <v>181</v>
      </c>
      <c r="B11" s="4"/>
      <c r="C11" s="6" t="str">
        <f>+'[1]Base Data'!D6</f>
        <v>$/kw</v>
      </c>
      <c r="D11" s="4"/>
      <c r="E11" s="6">
        <f>VLOOKUP('Performance LD'!A11,Table1[#All],8,FALSE)</f>
        <v>1500</v>
      </c>
      <c r="F11" s="4"/>
      <c r="G11" s="4"/>
    </row>
    <row r="12" spans="1:7" x14ac:dyDescent="0.2">
      <c r="A12" s="4" t="s">
        <v>8</v>
      </c>
      <c r="B12" s="4"/>
      <c r="C12" s="6" t="s">
        <v>9</v>
      </c>
      <c r="D12" s="4"/>
      <c r="E12" s="6">
        <f>+E5*E11*1000/1000000</f>
        <v>108</v>
      </c>
      <c r="F12" s="4"/>
      <c r="G12" s="4"/>
    </row>
    <row r="13" spans="1:7" x14ac:dyDescent="0.2">
      <c r="A13" s="4" t="s">
        <v>41</v>
      </c>
      <c r="B13" s="4"/>
      <c r="C13" s="6" t="s">
        <v>10</v>
      </c>
      <c r="D13" s="4"/>
      <c r="E13" s="6">
        <f>VLOOKUP('Performance LD'!A13,Table1[#All],8,FALSE)</f>
        <v>3</v>
      </c>
      <c r="F13" s="4"/>
      <c r="G13" s="4"/>
    </row>
    <row r="14" spans="1:7" x14ac:dyDescent="0.2">
      <c r="A14" s="4" t="s">
        <v>11</v>
      </c>
      <c r="B14" s="4"/>
      <c r="C14" s="6" t="s">
        <v>12</v>
      </c>
      <c r="D14" s="4"/>
      <c r="E14" s="6" t="s">
        <v>226</v>
      </c>
      <c r="F14" s="6" t="s">
        <v>14</v>
      </c>
      <c r="G14" s="6" t="s">
        <v>15</v>
      </c>
    </row>
    <row r="15" spans="1:7" x14ac:dyDescent="0.2">
      <c r="A15" s="4" t="s">
        <v>11</v>
      </c>
      <c r="B15" s="4"/>
      <c r="C15" s="6" t="s">
        <v>16</v>
      </c>
      <c r="D15" s="4"/>
      <c r="E15" s="8">
        <v>0.1</v>
      </c>
      <c r="F15" s="8">
        <v>0.4</v>
      </c>
      <c r="G15" s="8">
        <v>0.5</v>
      </c>
    </row>
    <row r="16" spans="1:7" x14ac:dyDescent="0.2">
      <c r="A16" s="4" t="s">
        <v>11</v>
      </c>
      <c r="B16" s="4"/>
      <c r="C16" s="6" t="s">
        <v>9</v>
      </c>
      <c r="D16" s="4"/>
      <c r="E16" s="6">
        <f>+E12*E15</f>
        <v>10.8</v>
      </c>
      <c r="F16" s="6">
        <f>+E12*F15</f>
        <v>43.2</v>
      </c>
      <c r="G16" s="6">
        <f>+E12*G15</f>
        <v>54</v>
      </c>
    </row>
    <row r="17" spans="1:23" x14ac:dyDescent="0.2">
      <c r="A17" s="4" t="s">
        <v>191</v>
      </c>
      <c r="B17" s="4"/>
      <c r="C17" s="6" t="s">
        <v>16</v>
      </c>
      <c r="D17" s="4"/>
      <c r="E17" s="6">
        <f>VLOOKUP('Performance LD'!A17,Table1[#All],8,FALSE)</f>
        <v>2.5000000000000001E-2</v>
      </c>
      <c r="F17" s="4"/>
      <c r="G17" s="4"/>
    </row>
    <row r="18" spans="1:23" x14ac:dyDescent="0.2">
      <c r="A18" s="4" t="s">
        <v>17</v>
      </c>
      <c r="B18" s="4"/>
      <c r="C18" s="6" t="s">
        <v>18</v>
      </c>
      <c r="D18" s="4"/>
      <c r="E18" s="6">
        <f>VLOOKUP('Performance LD'!A18,Table1[#All],8,FALSE)</f>
        <v>25</v>
      </c>
      <c r="F18" s="4"/>
      <c r="G18" s="4"/>
      <c r="H18" s="11"/>
    </row>
    <row r="19" spans="1:23" x14ac:dyDescent="0.2">
      <c r="A19" s="4" t="s">
        <v>19</v>
      </c>
      <c r="B19" s="4"/>
      <c r="C19" s="6" t="s">
        <v>20</v>
      </c>
      <c r="D19" s="4"/>
      <c r="E19" s="6">
        <f>VLOOKUP('Performance LD'!A19,Table1[#All],8,FALSE)</f>
        <v>0.21</v>
      </c>
      <c r="F19" s="10" t="s">
        <v>21</v>
      </c>
      <c r="G19" s="4"/>
      <c r="H19" s="12"/>
    </row>
    <row r="20" spans="1:23" x14ac:dyDescent="0.2">
      <c r="A20" s="4" t="s">
        <v>22</v>
      </c>
      <c r="B20" s="4"/>
      <c r="C20" s="6" t="s">
        <v>23</v>
      </c>
      <c r="D20" s="4"/>
      <c r="E20" s="6">
        <f>VLOOKUP('Performance LD'!A20,Table1[#All],8,FALSE)</f>
        <v>5</v>
      </c>
      <c r="F20" s="10"/>
      <c r="G20" s="4"/>
      <c r="H20" s="10" t="s">
        <v>24</v>
      </c>
      <c r="I20" s="10" t="s">
        <v>25</v>
      </c>
      <c r="J20" s="10" t="s">
        <v>26</v>
      </c>
      <c r="K20" s="10" t="s">
        <v>27</v>
      </c>
      <c r="L20" s="10" t="s">
        <v>28</v>
      </c>
      <c r="M20" s="10" t="s">
        <v>29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x14ac:dyDescent="0.2">
      <c r="A21" s="4" t="s">
        <v>30</v>
      </c>
      <c r="B21" s="4"/>
      <c r="C21" s="6" t="s">
        <v>16</v>
      </c>
      <c r="D21" s="4"/>
      <c r="E21" s="6"/>
      <c r="F21" s="4"/>
      <c r="G21" s="4"/>
      <c r="H21" s="72">
        <v>0.2</v>
      </c>
      <c r="I21" s="72">
        <v>0.32</v>
      </c>
      <c r="J21" s="72">
        <v>0.192</v>
      </c>
      <c r="K21" s="72">
        <v>0.1152</v>
      </c>
      <c r="L21" s="72">
        <v>0.1152</v>
      </c>
      <c r="M21" s="72">
        <v>5.7599999999999998E-2</v>
      </c>
      <c r="N21" s="14"/>
      <c r="O21" s="14"/>
      <c r="P21" s="14"/>
      <c r="Q21" s="14"/>
      <c r="R21" s="14"/>
      <c r="S21" s="14"/>
      <c r="T21" s="14"/>
      <c r="U21" s="14"/>
      <c r="V21" s="14"/>
      <c r="W21" s="15"/>
    </row>
    <row r="22" spans="1:23" x14ac:dyDescent="0.2">
      <c r="A22" s="4" t="s">
        <v>31</v>
      </c>
      <c r="B22" s="4"/>
      <c r="C22" s="6" t="s">
        <v>32</v>
      </c>
      <c r="D22" s="4"/>
      <c r="E22" s="6">
        <v>0</v>
      </c>
      <c r="F22" s="4"/>
      <c r="G22" s="4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7"/>
    </row>
    <row r="23" spans="1:23" x14ac:dyDescent="0.2">
      <c r="A23" s="4" t="s">
        <v>33</v>
      </c>
      <c r="B23" s="4"/>
      <c r="C23" s="6" t="s">
        <v>34</v>
      </c>
      <c r="D23" s="4"/>
      <c r="E23" s="6">
        <v>0</v>
      </c>
      <c r="F23" s="4"/>
      <c r="G23" s="4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7"/>
    </row>
    <row r="24" spans="1:23" x14ac:dyDescent="0.2">
      <c r="A24" s="4"/>
      <c r="B24" s="4"/>
      <c r="C24" s="6"/>
      <c r="D24" s="4"/>
      <c r="E24" s="13"/>
      <c r="F24" s="4"/>
      <c r="G24" s="4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7"/>
    </row>
    <row r="25" spans="1:23" x14ac:dyDescent="0.2">
      <c r="A25" s="4" t="s">
        <v>35</v>
      </c>
      <c r="B25" s="4"/>
      <c r="C25" s="6"/>
      <c r="D25" s="4"/>
      <c r="E25" s="13"/>
      <c r="F25" s="4"/>
      <c r="G25" s="4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7"/>
    </row>
    <row r="26" spans="1:23" x14ac:dyDescent="0.2">
      <c r="C26" s="11"/>
      <c r="E26" s="1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7"/>
    </row>
    <row r="28" spans="1:23" x14ac:dyDescent="0.2">
      <c r="A28" s="1" t="s">
        <v>36</v>
      </c>
    </row>
    <row r="29" spans="1:23" ht="16" thickBot="1" x14ac:dyDescent="0.25"/>
    <row r="30" spans="1:23" ht="16" thickBot="1" x14ac:dyDescent="0.25">
      <c r="A30" t="s">
        <v>36</v>
      </c>
      <c r="C30" s="11" t="s">
        <v>37</v>
      </c>
      <c r="E30" s="19">
        <v>0.05</v>
      </c>
    </row>
    <row r="31" spans="1:23" x14ac:dyDescent="0.2">
      <c r="A31" t="s">
        <v>36</v>
      </c>
      <c r="C31" s="11" t="s">
        <v>9</v>
      </c>
      <c r="E31" s="20">
        <f>+E30*E12</f>
        <v>5.4</v>
      </c>
    </row>
    <row r="32" spans="1:23" x14ac:dyDescent="0.2">
      <c r="A32" t="s">
        <v>38</v>
      </c>
      <c r="C32" s="11"/>
      <c r="E32" s="21">
        <f>+E12+E31</f>
        <v>113.4</v>
      </c>
    </row>
    <row r="33" spans="1:7" x14ac:dyDescent="0.2">
      <c r="A33" t="s">
        <v>39</v>
      </c>
      <c r="C33" s="11" t="s">
        <v>12</v>
      </c>
      <c r="E33" s="11" t="s">
        <v>13</v>
      </c>
      <c r="F33" s="11" t="s">
        <v>14</v>
      </c>
      <c r="G33" s="11" t="s">
        <v>15</v>
      </c>
    </row>
    <row r="34" spans="1:7" x14ac:dyDescent="0.2">
      <c r="A34" t="s">
        <v>39</v>
      </c>
      <c r="C34" s="11" t="s">
        <v>16</v>
      </c>
      <c r="E34" s="22">
        <v>0.1</v>
      </c>
      <c r="F34" s="22">
        <v>0.4</v>
      </c>
      <c r="G34" s="22">
        <v>0.5</v>
      </c>
    </row>
    <row r="35" spans="1:7" x14ac:dyDescent="0.2">
      <c r="A35" t="s">
        <v>39</v>
      </c>
      <c r="C35" s="11" t="s">
        <v>9</v>
      </c>
      <c r="E35" s="23">
        <f>+E34*$E$32</f>
        <v>11.340000000000002</v>
      </c>
      <c r="F35" s="23">
        <f t="shared" ref="F35:G35" si="0">+F34*$E$32</f>
        <v>45.360000000000007</v>
      </c>
      <c r="G35" s="23">
        <f t="shared" si="0"/>
        <v>56.7</v>
      </c>
    </row>
    <row r="36" spans="1:7" x14ac:dyDescent="0.2">
      <c r="C36" s="11"/>
      <c r="E36" s="24"/>
      <c r="F36" s="24"/>
      <c r="G36" s="24"/>
    </row>
    <row r="37" spans="1:7" x14ac:dyDescent="0.2">
      <c r="A37" t="s">
        <v>40</v>
      </c>
      <c r="C37" s="11"/>
      <c r="E37" s="24"/>
      <c r="F37" s="24"/>
      <c r="G37" s="24"/>
    </row>
    <row r="38" spans="1:7" x14ac:dyDescent="0.2">
      <c r="C38" s="11"/>
      <c r="E38" s="24"/>
      <c r="F38" s="24"/>
      <c r="G38" s="24"/>
    </row>
    <row r="40" spans="1:7" x14ac:dyDescent="0.2">
      <c r="A40" s="3" t="s">
        <v>166</v>
      </c>
      <c r="B40" s="4"/>
      <c r="C40" s="4"/>
      <c r="D40" s="4"/>
      <c r="E40" s="4"/>
    </row>
    <row r="41" spans="1:7" x14ac:dyDescent="0.2">
      <c r="A41" s="4"/>
      <c r="B41" s="4"/>
      <c r="C41" s="4"/>
      <c r="D41" s="4"/>
      <c r="E41" s="4"/>
    </row>
    <row r="42" spans="1:7" x14ac:dyDescent="0.2">
      <c r="A42" s="4" t="s">
        <v>41</v>
      </c>
      <c r="B42" s="4"/>
      <c r="C42" s="6" t="s">
        <v>10</v>
      </c>
      <c r="D42" s="4"/>
      <c r="E42" s="7">
        <v>3</v>
      </c>
    </row>
    <row r="43" spans="1:7" x14ac:dyDescent="0.2">
      <c r="A43" s="4" t="s">
        <v>42</v>
      </c>
      <c r="B43" s="4"/>
      <c r="C43" s="6" t="s">
        <v>16</v>
      </c>
      <c r="D43" s="4"/>
      <c r="E43" s="8">
        <v>0.05</v>
      </c>
    </row>
    <row r="44" spans="1:7" x14ac:dyDescent="0.2">
      <c r="A44" s="4" t="s">
        <v>43</v>
      </c>
      <c r="B44" s="4"/>
      <c r="C44" s="6" t="s">
        <v>16</v>
      </c>
      <c r="D44" s="4"/>
      <c r="E44" s="8">
        <v>0.5</v>
      </c>
    </row>
    <row r="45" spans="1:7" x14ac:dyDescent="0.2">
      <c r="A45" s="4"/>
      <c r="B45" s="4"/>
      <c r="C45" s="6"/>
      <c r="D45" s="4"/>
      <c r="E45" s="4"/>
    </row>
    <row r="46" spans="1:7" x14ac:dyDescent="0.2">
      <c r="A46" s="4" t="s">
        <v>44</v>
      </c>
      <c r="B46" s="4"/>
      <c r="C46" s="6" t="s">
        <v>10</v>
      </c>
      <c r="D46" s="4"/>
      <c r="E46" s="7">
        <v>15</v>
      </c>
    </row>
    <row r="47" spans="1:7" x14ac:dyDescent="0.2">
      <c r="A47" s="4" t="s">
        <v>45</v>
      </c>
      <c r="B47" s="4"/>
      <c r="C47" s="6" t="s">
        <v>16</v>
      </c>
      <c r="D47" s="4"/>
      <c r="E47" s="10">
        <v>6.5000000000000002E-2</v>
      </c>
    </row>
    <row r="48" spans="1:7" x14ac:dyDescent="0.2">
      <c r="A48" s="4" t="s">
        <v>46</v>
      </c>
      <c r="B48" s="4"/>
      <c r="C48" s="6" t="s">
        <v>16</v>
      </c>
      <c r="D48" s="4"/>
      <c r="E48" s="8">
        <v>0.59555420651468194</v>
      </c>
    </row>
    <row r="49" spans="1:7" x14ac:dyDescent="0.2">
      <c r="A49" s="4"/>
      <c r="B49" s="4"/>
      <c r="C49" s="4"/>
      <c r="D49" s="4"/>
      <c r="E49" s="4"/>
    </row>
    <row r="50" spans="1:7" x14ac:dyDescent="0.2">
      <c r="A50" s="4" t="s">
        <v>47</v>
      </c>
      <c r="B50" s="4"/>
      <c r="C50" s="4"/>
      <c r="D50" s="4"/>
      <c r="E50" s="4"/>
    </row>
    <row r="51" spans="1:7" x14ac:dyDescent="0.2">
      <c r="A51" s="4" t="s">
        <v>48</v>
      </c>
      <c r="B51" s="4"/>
      <c r="C51" s="4"/>
      <c r="D51" s="4"/>
      <c r="E51" s="4"/>
    </row>
    <row r="52" spans="1:7" x14ac:dyDescent="0.2">
      <c r="A52" s="4"/>
      <c r="B52" s="4"/>
      <c r="C52" s="4"/>
      <c r="D52" s="4"/>
      <c r="E52" s="4"/>
    </row>
    <row r="53" spans="1:7" x14ac:dyDescent="0.2">
      <c r="A53" s="4" t="s">
        <v>49</v>
      </c>
      <c r="B53" s="4"/>
      <c r="C53" s="4"/>
      <c r="D53" s="4"/>
      <c r="E53" s="4"/>
    </row>
    <row r="54" spans="1:7" x14ac:dyDescent="0.2">
      <c r="A54" s="4" t="s">
        <v>167</v>
      </c>
      <c r="B54" s="4"/>
      <c r="C54" s="4"/>
      <c r="D54" s="4"/>
      <c r="E54" s="4"/>
    </row>
    <row r="55" spans="1:7" x14ac:dyDescent="0.2">
      <c r="A55" s="4" t="s">
        <v>50</v>
      </c>
      <c r="B55" s="4"/>
      <c r="C55" s="4"/>
      <c r="D55" s="4"/>
      <c r="E55" s="4"/>
    </row>
    <row r="56" spans="1:7" x14ac:dyDescent="0.2">
      <c r="A56" s="4"/>
      <c r="B56" s="4"/>
      <c r="C56" s="4"/>
      <c r="D56" s="4"/>
      <c r="E56" s="4"/>
    </row>
    <row r="58" spans="1:7" x14ac:dyDescent="0.2">
      <c r="A58" s="3" t="s">
        <v>51</v>
      </c>
      <c r="B58" s="4"/>
      <c r="C58" s="4"/>
      <c r="D58" s="4"/>
      <c r="E58" s="4" t="s">
        <v>21</v>
      </c>
    </row>
    <row r="59" spans="1:7" x14ac:dyDescent="0.2">
      <c r="A59" s="4"/>
      <c r="B59" s="4"/>
      <c r="C59" s="4"/>
      <c r="D59" s="4"/>
      <c r="E59" s="4"/>
    </row>
    <row r="60" spans="1:7" x14ac:dyDescent="0.2">
      <c r="A60" s="4" t="s">
        <v>209</v>
      </c>
      <c r="B60" s="4"/>
      <c r="C60" s="6" t="s">
        <v>52</v>
      </c>
      <c r="D60" s="4"/>
      <c r="E60" s="6">
        <v>0</v>
      </c>
    </row>
    <row r="61" spans="1:7" x14ac:dyDescent="0.2">
      <c r="A61" s="4" t="s">
        <v>53</v>
      </c>
      <c r="B61" s="4"/>
      <c r="C61" s="6" t="s">
        <v>16</v>
      </c>
      <c r="D61" s="4"/>
      <c r="E61" s="10">
        <v>0</v>
      </c>
    </row>
    <row r="62" spans="1:7" x14ac:dyDescent="0.2">
      <c r="A62" s="4"/>
      <c r="B62" s="4"/>
      <c r="C62" s="4"/>
      <c r="D62" s="4"/>
      <c r="E62" s="4"/>
    </row>
    <row r="63" spans="1:7" x14ac:dyDescent="0.2">
      <c r="A63" s="3" t="s">
        <v>54</v>
      </c>
      <c r="B63" s="4"/>
      <c r="C63" s="4"/>
      <c r="D63" s="4"/>
      <c r="E63" s="4" t="s">
        <v>55</v>
      </c>
      <c r="G63" t="s">
        <v>56</v>
      </c>
    </row>
    <row r="64" spans="1:7" ht="16" thickBot="1" x14ac:dyDescent="0.25">
      <c r="A64" s="4"/>
      <c r="B64" s="4"/>
      <c r="C64" s="4"/>
      <c r="D64" s="4"/>
      <c r="E64" s="4"/>
    </row>
    <row r="65" spans="1:32" ht="16" thickBot="1" x14ac:dyDescent="0.25">
      <c r="A65" s="4" t="s">
        <v>209</v>
      </c>
      <c r="B65" s="4"/>
      <c r="C65" s="6" t="s">
        <v>57</v>
      </c>
      <c r="D65" s="4"/>
      <c r="E65" s="9">
        <v>35</v>
      </c>
      <c r="G65" s="25">
        <v>72.235086664974148</v>
      </c>
    </row>
    <row r="66" spans="1:32" x14ac:dyDescent="0.2">
      <c r="A66" s="4" t="s">
        <v>53</v>
      </c>
      <c r="B66" s="4"/>
      <c r="C66" s="6" t="s">
        <v>16</v>
      </c>
      <c r="D66" s="4"/>
      <c r="E66" s="10">
        <v>0</v>
      </c>
      <c r="G66" s="26">
        <v>0</v>
      </c>
    </row>
    <row r="69" spans="1:32" x14ac:dyDescent="0.2">
      <c r="A69" s="1" t="s">
        <v>210</v>
      </c>
    </row>
    <row r="71" spans="1:32" x14ac:dyDescent="0.2">
      <c r="A71" s="1" t="s">
        <v>58</v>
      </c>
      <c r="E71">
        <v>2025</v>
      </c>
      <c r="F71">
        <f t="shared" ref="F71:M71" si="1">+E71+1</f>
        <v>2026</v>
      </c>
      <c r="G71">
        <f t="shared" si="1"/>
        <v>2027</v>
      </c>
      <c r="H71">
        <f t="shared" si="1"/>
        <v>2028</v>
      </c>
      <c r="I71">
        <f t="shared" si="1"/>
        <v>2029</v>
      </c>
      <c r="J71">
        <f t="shared" si="1"/>
        <v>2030</v>
      </c>
      <c r="K71">
        <f t="shared" si="1"/>
        <v>2031</v>
      </c>
      <c r="L71">
        <f t="shared" si="1"/>
        <v>2032</v>
      </c>
      <c r="M71">
        <f t="shared" si="1"/>
        <v>2033</v>
      </c>
      <c r="N71">
        <v>2034</v>
      </c>
      <c r="O71">
        <f>+N71+1</f>
        <v>2035</v>
      </c>
      <c r="P71">
        <v>2036</v>
      </c>
      <c r="Q71">
        <v>2037</v>
      </c>
      <c r="R71">
        <v>2038</v>
      </c>
      <c r="S71">
        <f>+R71+1</f>
        <v>2039</v>
      </c>
      <c r="T71">
        <f>+S71+1</f>
        <v>2040</v>
      </c>
      <c r="U71">
        <f>+T71+1</f>
        <v>2041</v>
      </c>
      <c r="V71">
        <v>2039</v>
      </c>
      <c r="W71">
        <f t="shared" ref="W71:Y71" si="2">+V71+1</f>
        <v>2040</v>
      </c>
      <c r="X71">
        <f t="shared" si="2"/>
        <v>2041</v>
      </c>
      <c r="Y71">
        <f t="shared" si="2"/>
        <v>2042</v>
      </c>
      <c r="Z71">
        <v>2040</v>
      </c>
      <c r="AA71">
        <f t="shared" ref="AA71:AC71" si="3">+Z71+1</f>
        <v>2041</v>
      </c>
      <c r="AB71">
        <f t="shared" si="3"/>
        <v>2042</v>
      </c>
      <c r="AC71">
        <f t="shared" si="3"/>
        <v>2043</v>
      </c>
      <c r="AD71">
        <v>2041</v>
      </c>
      <c r="AE71">
        <f t="shared" ref="AE71:AF71" si="4">+AD71+1</f>
        <v>2042</v>
      </c>
      <c r="AF71">
        <f t="shared" si="4"/>
        <v>2043</v>
      </c>
    </row>
    <row r="73" spans="1:32" x14ac:dyDescent="0.2">
      <c r="A73" t="s">
        <v>59</v>
      </c>
      <c r="H73">
        <v>1</v>
      </c>
      <c r="I73">
        <f>+H73+1</f>
        <v>2</v>
      </c>
      <c r="J73">
        <f t="shared" ref="J73:AF73" si="5">+I73+1</f>
        <v>3</v>
      </c>
      <c r="K73">
        <f t="shared" si="5"/>
        <v>4</v>
      </c>
      <c r="L73">
        <f t="shared" si="5"/>
        <v>5</v>
      </c>
      <c r="M73">
        <f t="shared" si="5"/>
        <v>6</v>
      </c>
      <c r="N73">
        <f t="shared" si="5"/>
        <v>7</v>
      </c>
      <c r="O73">
        <f t="shared" si="5"/>
        <v>8</v>
      </c>
      <c r="P73">
        <f t="shared" si="5"/>
        <v>9</v>
      </c>
      <c r="Q73">
        <f t="shared" si="5"/>
        <v>10</v>
      </c>
      <c r="R73">
        <f t="shared" si="5"/>
        <v>11</v>
      </c>
      <c r="S73">
        <f t="shared" si="5"/>
        <v>12</v>
      </c>
      <c r="T73">
        <f t="shared" si="5"/>
        <v>13</v>
      </c>
      <c r="U73">
        <f t="shared" si="5"/>
        <v>14</v>
      </c>
      <c r="V73">
        <f t="shared" si="5"/>
        <v>15</v>
      </c>
      <c r="W73">
        <f t="shared" si="5"/>
        <v>16</v>
      </c>
      <c r="X73">
        <f t="shared" si="5"/>
        <v>17</v>
      </c>
      <c r="Y73">
        <f t="shared" si="5"/>
        <v>18</v>
      </c>
      <c r="Z73">
        <f t="shared" si="5"/>
        <v>19</v>
      </c>
      <c r="AA73">
        <f t="shared" si="5"/>
        <v>20</v>
      </c>
      <c r="AB73">
        <f t="shared" si="5"/>
        <v>21</v>
      </c>
      <c r="AC73">
        <f t="shared" si="5"/>
        <v>22</v>
      </c>
      <c r="AD73">
        <f t="shared" si="5"/>
        <v>23</v>
      </c>
      <c r="AE73">
        <f t="shared" si="5"/>
        <v>24</v>
      </c>
      <c r="AF73">
        <f t="shared" si="5"/>
        <v>25</v>
      </c>
    </row>
    <row r="74" spans="1:32" x14ac:dyDescent="0.2">
      <c r="A74" t="s">
        <v>60</v>
      </c>
      <c r="E74">
        <v>1</v>
      </c>
      <c r="F74">
        <v>2</v>
      </c>
      <c r="G74">
        <v>3</v>
      </c>
    </row>
    <row r="76" spans="1:32" x14ac:dyDescent="0.2">
      <c r="A76" s="27" t="s">
        <v>61</v>
      </c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</row>
    <row r="77" spans="1:32" x14ac:dyDescent="0.2">
      <c r="A77" t="s">
        <v>62</v>
      </c>
      <c r="C77" s="11" t="s">
        <v>3</v>
      </c>
      <c r="E77" s="28"/>
      <c r="F77" s="28"/>
      <c r="G77" s="28"/>
      <c r="H77" s="29">
        <f>+$E$7</f>
        <v>252288</v>
      </c>
      <c r="I77" s="29">
        <f t="shared" ref="I77:AF77" si="6">+$E$7</f>
        <v>252288</v>
      </c>
      <c r="J77" s="29">
        <f t="shared" si="6"/>
        <v>252288</v>
      </c>
      <c r="K77" s="29">
        <f t="shared" si="6"/>
        <v>252288</v>
      </c>
      <c r="L77" s="29">
        <f t="shared" si="6"/>
        <v>252288</v>
      </c>
      <c r="M77" s="29">
        <f t="shared" si="6"/>
        <v>252288</v>
      </c>
      <c r="N77" s="29">
        <f t="shared" si="6"/>
        <v>252288</v>
      </c>
      <c r="O77" s="29">
        <f t="shared" si="6"/>
        <v>252288</v>
      </c>
      <c r="P77" s="29">
        <f t="shared" si="6"/>
        <v>252288</v>
      </c>
      <c r="Q77" s="29">
        <f t="shared" si="6"/>
        <v>252288</v>
      </c>
      <c r="R77" s="29">
        <f t="shared" si="6"/>
        <v>252288</v>
      </c>
      <c r="S77" s="29">
        <f t="shared" si="6"/>
        <v>252288</v>
      </c>
      <c r="T77" s="29">
        <f t="shared" si="6"/>
        <v>252288</v>
      </c>
      <c r="U77" s="29">
        <f t="shared" si="6"/>
        <v>252288</v>
      </c>
      <c r="V77" s="29">
        <f t="shared" si="6"/>
        <v>252288</v>
      </c>
      <c r="W77" s="29">
        <f t="shared" si="6"/>
        <v>252288</v>
      </c>
      <c r="X77" s="29">
        <f t="shared" si="6"/>
        <v>252288</v>
      </c>
      <c r="Y77" s="29">
        <f t="shared" si="6"/>
        <v>252288</v>
      </c>
      <c r="Z77" s="29">
        <f t="shared" si="6"/>
        <v>252288</v>
      </c>
      <c r="AA77" s="29">
        <f t="shared" si="6"/>
        <v>252288</v>
      </c>
      <c r="AB77" s="29">
        <f t="shared" si="6"/>
        <v>252288</v>
      </c>
      <c r="AC77" s="29">
        <f t="shared" si="6"/>
        <v>252288</v>
      </c>
      <c r="AD77" s="29">
        <f t="shared" si="6"/>
        <v>252288</v>
      </c>
      <c r="AE77" s="29">
        <f t="shared" si="6"/>
        <v>252288</v>
      </c>
      <c r="AF77" s="29">
        <f t="shared" si="6"/>
        <v>252288</v>
      </c>
    </row>
    <row r="78" spans="1:32" x14ac:dyDescent="0.2">
      <c r="A78" t="s">
        <v>63</v>
      </c>
      <c r="C78" s="11" t="s">
        <v>57</v>
      </c>
      <c r="E78" s="30">
        <f>+G65</f>
        <v>72.235086664974148</v>
      </c>
      <c r="F78" s="31">
        <f>E78*1.025</f>
        <v>74.040963831598489</v>
      </c>
      <c r="G78" s="31">
        <f>F78*1.025</f>
        <v>75.891987927388442</v>
      </c>
      <c r="H78" s="31">
        <f t="shared" ref="H78:AF78" si="7">G78*1.025</f>
        <v>77.789287625573152</v>
      </c>
      <c r="I78" s="31">
        <f t="shared" si="7"/>
        <v>79.734019816212481</v>
      </c>
      <c r="J78" s="31">
        <f t="shared" si="7"/>
        <v>81.72737031161779</v>
      </c>
      <c r="K78" s="31">
        <f t="shared" si="7"/>
        <v>83.770554569408233</v>
      </c>
      <c r="L78" s="31">
        <f t="shared" si="7"/>
        <v>85.864818433643435</v>
      </c>
      <c r="M78" s="31">
        <f t="shared" si="7"/>
        <v>88.011438894484513</v>
      </c>
      <c r="N78" s="31">
        <f t="shared" si="7"/>
        <v>90.211724866846623</v>
      </c>
      <c r="O78" s="31">
        <f t="shared" si="7"/>
        <v>92.467017988517782</v>
      </c>
      <c r="P78" s="31">
        <f t="shared" si="7"/>
        <v>94.778693438230718</v>
      </c>
      <c r="Q78" s="31">
        <f t="shared" si="7"/>
        <v>97.148160774186479</v>
      </c>
      <c r="R78" s="31">
        <f t="shared" si="7"/>
        <v>99.576864793541134</v>
      </c>
      <c r="S78" s="31">
        <f t="shared" si="7"/>
        <v>102.06628641337966</v>
      </c>
      <c r="T78" s="31">
        <f t="shared" si="7"/>
        <v>104.61794357371414</v>
      </c>
      <c r="U78" s="31">
        <f t="shared" si="7"/>
        <v>107.23339216305699</v>
      </c>
      <c r="V78" s="31">
        <f t="shared" si="7"/>
        <v>109.9142269671334</v>
      </c>
      <c r="W78" s="31">
        <f t="shared" si="7"/>
        <v>112.66208264131173</v>
      </c>
      <c r="X78" s="31">
        <f t="shared" si="7"/>
        <v>115.47863470734451</v>
      </c>
      <c r="Y78" s="31">
        <f t="shared" si="7"/>
        <v>118.36560057502811</v>
      </c>
      <c r="Z78" s="31">
        <f t="shared" si="7"/>
        <v>121.3247405894038</v>
      </c>
      <c r="AA78" s="31">
        <f t="shared" si="7"/>
        <v>124.35785910413888</v>
      </c>
      <c r="AB78" s="31">
        <f t="shared" si="7"/>
        <v>127.46680558174235</v>
      </c>
      <c r="AC78" s="31">
        <f t="shared" si="7"/>
        <v>130.6534757212859</v>
      </c>
      <c r="AD78" s="31">
        <f t="shared" si="7"/>
        <v>133.91981261431803</v>
      </c>
      <c r="AE78" s="31">
        <f t="shared" si="7"/>
        <v>137.26780792967597</v>
      </c>
      <c r="AF78" s="31">
        <f t="shared" si="7"/>
        <v>140.69950312791786</v>
      </c>
    </row>
    <row r="79" spans="1:32" x14ac:dyDescent="0.2">
      <c r="A79" t="s">
        <v>64</v>
      </c>
      <c r="C79" s="11" t="s">
        <v>9</v>
      </c>
      <c r="E79" s="32"/>
      <c r="F79" s="32"/>
      <c r="G79" s="32"/>
      <c r="H79" s="33">
        <f>+H77*H78/1000000</f>
        <v>19.625303796480601</v>
      </c>
      <c r="I79" s="33">
        <f t="shared" ref="I79:AF79" si="8">+I77*I78/1000000</f>
        <v>20.115936391392616</v>
      </c>
      <c r="J79" s="33">
        <f t="shared" si="8"/>
        <v>20.618834801177428</v>
      </c>
      <c r="K79" s="33">
        <f t="shared" si="8"/>
        <v>21.134305671206864</v>
      </c>
      <c r="L79" s="33">
        <f t="shared" si="8"/>
        <v>21.662663312987032</v>
      </c>
      <c r="M79" s="33">
        <f t="shared" si="8"/>
        <v>22.204229895811711</v>
      </c>
      <c r="N79" s="33">
        <f t="shared" si="8"/>
        <v>22.759335643207002</v>
      </c>
      <c r="O79" s="33">
        <f t="shared" si="8"/>
        <v>23.328319034287173</v>
      </c>
      <c r="P79" s="33">
        <f t="shared" si="8"/>
        <v>23.911527010144354</v>
      </c>
      <c r="Q79" s="33">
        <f t="shared" si="8"/>
        <v>24.509315185397959</v>
      </c>
      <c r="R79" s="33">
        <f t="shared" si="8"/>
        <v>25.122048065032907</v>
      </c>
      <c r="S79" s="33">
        <f t="shared" si="8"/>
        <v>25.750099266658726</v>
      </c>
      <c r="T79" s="33">
        <f t="shared" si="8"/>
        <v>26.393851748325194</v>
      </c>
      <c r="U79" s="33">
        <f t="shared" si="8"/>
        <v>27.053698042033322</v>
      </c>
      <c r="V79" s="33">
        <f t="shared" si="8"/>
        <v>27.73004049308415</v>
      </c>
      <c r="W79" s="33">
        <f t="shared" si="8"/>
        <v>28.423291505411253</v>
      </c>
      <c r="X79" s="33">
        <f t="shared" si="8"/>
        <v>29.133873793046529</v>
      </c>
      <c r="Y79" s="33">
        <f t="shared" si="8"/>
        <v>29.862220637872692</v>
      </c>
      <c r="Z79" s="33">
        <f t="shared" si="8"/>
        <v>30.608776153819505</v>
      </c>
      <c r="AA79" s="33">
        <f t="shared" si="8"/>
        <v>31.37399555766499</v>
      </c>
      <c r="AB79" s="33">
        <f t="shared" si="8"/>
        <v>32.158345446606617</v>
      </c>
      <c r="AC79" s="33">
        <f t="shared" si="8"/>
        <v>32.96230408277178</v>
      </c>
      <c r="AD79" s="33">
        <f t="shared" si="8"/>
        <v>33.786361684841069</v>
      </c>
      <c r="AE79" s="33">
        <f t="shared" si="8"/>
        <v>34.631020726962092</v>
      </c>
      <c r="AF79" s="33">
        <f t="shared" si="8"/>
        <v>35.496796245136139</v>
      </c>
    </row>
    <row r="80" spans="1:32" x14ac:dyDescent="0.2">
      <c r="C80" s="11"/>
    </row>
    <row r="81" spans="1:32" x14ac:dyDescent="0.2">
      <c r="A81" s="27" t="s">
        <v>65</v>
      </c>
      <c r="C81" s="11"/>
    </row>
    <row r="82" spans="1:32" x14ac:dyDescent="0.2">
      <c r="A82" t="s">
        <v>66</v>
      </c>
      <c r="C82" s="11" t="s">
        <v>67</v>
      </c>
      <c r="E82" s="34">
        <f>+E9</f>
        <v>42</v>
      </c>
      <c r="F82" s="35">
        <f>+E82*(1+$E$17)</f>
        <v>43.05</v>
      </c>
      <c r="G82" s="35">
        <f t="shared" ref="G82:AF82" si="9">+F82*(1+$E$17)</f>
        <v>44.126249999999992</v>
      </c>
      <c r="H82" s="35">
        <f t="shared" si="9"/>
        <v>45.22940624999999</v>
      </c>
      <c r="I82" s="35">
        <f t="shared" si="9"/>
        <v>46.360141406249987</v>
      </c>
      <c r="J82" s="35">
        <f t="shared" si="9"/>
        <v>47.519144941406232</v>
      </c>
      <c r="K82" s="35">
        <f t="shared" si="9"/>
        <v>48.707123564941384</v>
      </c>
      <c r="L82" s="35">
        <f t="shared" si="9"/>
        <v>49.924801654064915</v>
      </c>
      <c r="M82" s="35">
        <f t="shared" si="9"/>
        <v>51.172921695416534</v>
      </c>
      <c r="N82" s="35">
        <f t="shared" si="9"/>
        <v>52.452244737801941</v>
      </c>
      <c r="O82" s="35">
        <f t="shared" si="9"/>
        <v>53.763550856246987</v>
      </c>
      <c r="P82" s="35">
        <f t="shared" si="9"/>
        <v>55.107639627653157</v>
      </c>
      <c r="Q82" s="35">
        <f t="shared" si="9"/>
        <v>56.485330618344484</v>
      </c>
      <c r="R82" s="35">
        <f t="shared" si="9"/>
        <v>57.897463883803091</v>
      </c>
      <c r="S82" s="35">
        <f t="shared" si="9"/>
        <v>59.344900480898161</v>
      </c>
      <c r="T82" s="35">
        <f t="shared" si="9"/>
        <v>60.828522992920611</v>
      </c>
      <c r="U82" s="35">
        <f t="shared" si="9"/>
        <v>62.349236067743618</v>
      </c>
      <c r="V82" s="35">
        <f t="shared" si="9"/>
        <v>63.907966969437204</v>
      </c>
      <c r="W82" s="35">
        <f t="shared" si="9"/>
        <v>65.505666143673125</v>
      </c>
      <c r="X82" s="35">
        <f t="shared" si="9"/>
        <v>67.143307797264953</v>
      </c>
      <c r="Y82" s="35">
        <f t="shared" si="9"/>
        <v>68.821890492196573</v>
      </c>
      <c r="Z82" s="35">
        <f t="shared" si="9"/>
        <v>70.542437754501478</v>
      </c>
      <c r="AA82" s="35">
        <f t="shared" si="9"/>
        <v>72.305998698364007</v>
      </c>
      <c r="AB82" s="35">
        <f t="shared" si="9"/>
        <v>74.113648665823106</v>
      </c>
      <c r="AC82" s="35">
        <f t="shared" si="9"/>
        <v>75.966489882468679</v>
      </c>
      <c r="AD82" s="35">
        <f t="shared" si="9"/>
        <v>77.865652129530389</v>
      </c>
      <c r="AE82" s="35">
        <f t="shared" si="9"/>
        <v>79.812293432768641</v>
      </c>
      <c r="AF82" s="35">
        <f t="shared" si="9"/>
        <v>81.807600768587847</v>
      </c>
    </row>
    <row r="83" spans="1:32" x14ac:dyDescent="0.2">
      <c r="A83" t="s">
        <v>66</v>
      </c>
      <c r="C83" s="11" t="s">
        <v>9</v>
      </c>
      <c r="H83" s="36">
        <f>+H82*$E$5*1000/1000000</f>
        <v>3.2565172499999995</v>
      </c>
      <c r="I83" s="36">
        <f t="shared" ref="I83:AF83" si="10">+I82*$E$5*1000/1000000</f>
        <v>3.3379301812499991</v>
      </c>
      <c r="J83" s="36">
        <f t="shared" si="10"/>
        <v>3.4213784357812487</v>
      </c>
      <c r="K83" s="36">
        <f t="shared" si="10"/>
        <v>3.5069128966757801</v>
      </c>
      <c r="L83" s="36">
        <f t="shared" si="10"/>
        <v>3.5945857190926742</v>
      </c>
      <c r="M83" s="36">
        <f t="shared" si="10"/>
        <v>3.6844503620699904</v>
      </c>
      <c r="N83" s="36">
        <f t="shared" si="10"/>
        <v>3.7765616211217399</v>
      </c>
      <c r="O83" s="36">
        <f t="shared" si="10"/>
        <v>3.870975661649783</v>
      </c>
      <c r="P83" s="36">
        <f t="shared" si="10"/>
        <v>3.9677500531910272</v>
      </c>
      <c r="Q83" s="36">
        <f t="shared" si="10"/>
        <v>4.0669438045208031</v>
      </c>
      <c r="R83" s="36">
        <f t="shared" si="10"/>
        <v>4.1686173996338232</v>
      </c>
      <c r="S83" s="36">
        <f t="shared" si="10"/>
        <v>4.2728328346246665</v>
      </c>
      <c r="T83" s="36">
        <f t="shared" si="10"/>
        <v>4.3796536554902836</v>
      </c>
      <c r="U83" s="36">
        <f t="shared" si="10"/>
        <v>4.489144996877541</v>
      </c>
      <c r="V83" s="36">
        <f t="shared" si="10"/>
        <v>4.6013736217994783</v>
      </c>
      <c r="W83" s="36">
        <f t="shared" si="10"/>
        <v>4.7164079623444648</v>
      </c>
      <c r="X83" s="36">
        <f t="shared" si="10"/>
        <v>4.8343181614030764</v>
      </c>
      <c r="Y83" s="36">
        <f t="shared" si="10"/>
        <v>4.9551761154381531</v>
      </c>
      <c r="Z83" s="36">
        <f t="shared" si="10"/>
        <v>5.0790555183241066</v>
      </c>
      <c r="AA83" s="36">
        <f t="shared" si="10"/>
        <v>5.2060319062822078</v>
      </c>
      <c r="AB83" s="36">
        <f t="shared" si="10"/>
        <v>5.3361827039392633</v>
      </c>
      <c r="AC83" s="36">
        <f t="shared" si="10"/>
        <v>5.469587271537744</v>
      </c>
      <c r="AD83" s="36">
        <f t="shared" si="10"/>
        <v>5.6063269533261879</v>
      </c>
      <c r="AE83" s="36">
        <f t="shared" si="10"/>
        <v>5.7464851271593425</v>
      </c>
      <c r="AF83" s="36">
        <f t="shared" si="10"/>
        <v>5.8901472553383245</v>
      </c>
    </row>
    <row r="84" spans="1:32" x14ac:dyDescent="0.2">
      <c r="A84" t="s">
        <v>68</v>
      </c>
      <c r="C84" s="11" t="s">
        <v>57</v>
      </c>
      <c r="E84" s="34">
        <f>+E10</f>
        <v>0</v>
      </c>
      <c r="F84" s="35">
        <f>+E84*(1+$E$17)</f>
        <v>0</v>
      </c>
      <c r="G84" s="35">
        <f t="shared" ref="G84:M84" si="11">+F84*(1+$E$17)</f>
        <v>0</v>
      </c>
      <c r="H84" s="35">
        <f t="shared" si="11"/>
        <v>0</v>
      </c>
      <c r="I84" s="35">
        <f t="shared" si="11"/>
        <v>0</v>
      </c>
      <c r="J84" s="35">
        <f t="shared" si="11"/>
        <v>0</v>
      </c>
      <c r="K84" s="35">
        <f t="shared" si="11"/>
        <v>0</v>
      </c>
      <c r="L84" s="35">
        <f t="shared" si="11"/>
        <v>0</v>
      </c>
      <c r="M84" s="35">
        <f t="shared" si="11"/>
        <v>0</v>
      </c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</row>
    <row r="85" spans="1:32" x14ac:dyDescent="0.2">
      <c r="A85" t="s">
        <v>68</v>
      </c>
      <c r="C85" s="11" t="s">
        <v>9</v>
      </c>
      <c r="H85" s="37">
        <f>+H77*H84/1000000</f>
        <v>0</v>
      </c>
      <c r="I85" s="37">
        <f t="shared" ref="I85:M85" si="12">+I77*I84/1000000</f>
        <v>0</v>
      </c>
      <c r="J85" s="37">
        <f t="shared" si="12"/>
        <v>0</v>
      </c>
      <c r="K85" s="37">
        <f t="shared" si="12"/>
        <v>0</v>
      </c>
      <c r="L85" s="37">
        <f t="shared" si="12"/>
        <v>0</v>
      </c>
      <c r="M85" s="37">
        <f t="shared" si="12"/>
        <v>0</v>
      </c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</row>
    <row r="86" spans="1:32" x14ac:dyDescent="0.2">
      <c r="A86" t="s">
        <v>4</v>
      </c>
      <c r="C86" s="11" t="s">
        <v>5</v>
      </c>
      <c r="H86" s="34">
        <f>+$E$8</f>
        <v>0</v>
      </c>
      <c r="I86" s="34">
        <f t="shared" ref="I86:M86" si="13">+$E$8</f>
        <v>0</v>
      </c>
      <c r="J86" s="34">
        <f t="shared" si="13"/>
        <v>0</v>
      </c>
      <c r="K86" s="34">
        <f t="shared" si="13"/>
        <v>0</v>
      </c>
      <c r="L86" s="34">
        <f t="shared" si="13"/>
        <v>0</v>
      </c>
      <c r="M86" s="34">
        <f t="shared" si="13"/>
        <v>0</v>
      </c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</row>
    <row r="87" spans="1:32" x14ac:dyDescent="0.2">
      <c r="A87" t="s">
        <v>69</v>
      </c>
      <c r="C87" s="11" t="s">
        <v>70</v>
      </c>
      <c r="H87" s="38">
        <f>+H86*H77*1000/1000000</f>
        <v>0</v>
      </c>
      <c r="I87" s="38">
        <f t="shared" ref="I87:M87" si="14">+I86*I77*1000/1000000</f>
        <v>0</v>
      </c>
      <c r="J87" s="38">
        <f t="shared" si="14"/>
        <v>0</v>
      </c>
      <c r="K87" s="38">
        <f t="shared" si="14"/>
        <v>0</v>
      </c>
      <c r="L87" s="38">
        <f t="shared" si="14"/>
        <v>0</v>
      </c>
      <c r="M87" s="38">
        <f t="shared" si="14"/>
        <v>0</v>
      </c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</row>
    <row r="88" spans="1:32" x14ac:dyDescent="0.2">
      <c r="A88" t="s">
        <v>71</v>
      </c>
      <c r="C88" s="11" t="s">
        <v>52</v>
      </c>
      <c r="E88" s="35">
        <f>+E60</f>
        <v>0</v>
      </c>
      <c r="F88" s="35">
        <f>+E88*(1+$E$61)</f>
        <v>0</v>
      </c>
      <c r="G88" s="35">
        <f t="shared" ref="G88:M88" si="15">+F88*(1+$E$61)</f>
        <v>0</v>
      </c>
      <c r="H88" s="35">
        <f t="shared" si="15"/>
        <v>0</v>
      </c>
      <c r="I88" s="35">
        <f t="shared" si="15"/>
        <v>0</v>
      </c>
      <c r="J88" s="35">
        <f t="shared" si="15"/>
        <v>0</v>
      </c>
      <c r="K88" s="35">
        <f t="shared" si="15"/>
        <v>0</v>
      </c>
      <c r="L88" s="35">
        <f t="shared" si="15"/>
        <v>0</v>
      </c>
      <c r="M88" s="35">
        <f t="shared" si="15"/>
        <v>0</v>
      </c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</row>
    <row r="89" spans="1:32" x14ac:dyDescent="0.2">
      <c r="A89" t="s">
        <v>72</v>
      </c>
      <c r="C89" s="11" t="s">
        <v>9</v>
      </c>
      <c r="H89" s="39">
        <f>+H87*H88/1000000</f>
        <v>0</v>
      </c>
      <c r="I89" s="39">
        <f t="shared" ref="I89:M89" si="16">+I87*I88/1000000</f>
        <v>0</v>
      </c>
      <c r="J89" s="39">
        <f t="shared" si="16"/>
        <v>0</v>
      </c>
      <c r="K89" s="39">
        <f t="shared" si="16"/>
        <v>0</v>
      </c>
      <c r="L89" s="39">
        <f t="shared" si="16"/>
        <v>0</v>
      </c>
      <c r="M89" s="39">
        <f t="shared" si="16"/>
        <v>0</v>
      </c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</row>
    <row r="90" spans="1:32" x14ac:dyDescent="0.2">
      <c r="A90" t="s">
        <v>73</v>
      </c>
      <c r="C90" s="11" t="s">
        <v>9</v>
      </c>
      <c r="H90" s="40">
        <f>+H83+H85+H89</f>
        <v>3.2565172499999995</v>
      </c>
      <c r="I90" s="40">
        <f t="shared" ref="I90:AF90" si="17">+I83+I85+I89</f>
        <v>3.3379301812499991</v>
      </c>
      <c r="J90" s="40">
        <f t="shared" si="17"/>
        <v>3.4213784357812487</v>
      </c>
      <c r="K90" s="40">
        <f t="shared" si="17"/>
        <v>3.5069128966757801</v>
      </c>
      <c r="L90" s="40">
        <f t="shared" si="17"/>
        <v>3.5945857190926742</v>
      </c>
      <c r="M90" s="40">
        <f t="shared" si="17"/>
        <v>3.6844503620699904</v>
      </c>
      <c r="N90" s="40">
        <f t="shared" si="17"/>
        <v>3.7765616211217399</v>
      </c>
      <c r="O90" s="40">
        <f t="shared" si="17"/>
        <v>3.870975661649783</v>
      </c>
      <c r="P90" s="40">
        <f t="shared" si="17"/>
        <v>3.9677500531910272</v>
      </c>
      <c r="Q90" s="40">
        <f t="shared" si="17"/>
        <v>4.0669438045208031</v>
      </c>
      <c r="R90" s="40">
        <f t="shared" si="17"/>
        <v>4.1686173996338232</v>
      </c>
      <c r="S90" s="40">
        <f t="shared" si="17"/>
        <v>4.2728328346246665</v>
      </c>
      <c r="T90" s="40">
        <f t="shared" si="17"/>
        <v>4.3796536554902836</v>
      </c>
      <c r="U90" s="40">
        <f t="shared" si="17"/>
        <v>4.489144996877541</v>
      </c>
      <c r="V90" s="40">
        <f t="shared" si="17"/>
        <v>4.6013736217994783</v>
      </c>
      <c r="W90" s="40">
        <f t="shared" si="17"/>
        <v>4.7164079623444648</v>
      </c>
      <c r="X90" s="40">
        <f t="shared" si="17"/>
        <v>4.8343181614030764</v>
      </c>
      <c r="Y90" s="40">
        <f t="shared" si="17"/>
        <v>4.9551761154381531</v>
      </c>
      <c r="Z90" s="40">
        <f t="shared" si="17"/>
        <v>5.0790555183241066</v>
      </c>
      <c r="AA90" s="40">
        <f t="shared" si="17"/>
        <v>5.2060319062822078</v>
      </c>
      <c r="AB90" s="40">
        <f t="shared" si="17"/>
        <v>5.3361827039392633</v>
      </c>
      <c r="AC90" s="40">
        <f t="shared" si="17"/>
        <v>5.469587271537744</v>
      </c>
      <c r="AD90" s="40">
        <f t="shared" si="17"/>
        <v>5.6063269533261879</v>
      </c>
      <c r="AE90" s="40">
        <f t="shared" si="17"/>
        <v>5.7464851271593425</v>
      </c>
      <c r="AF90" s="40">
        <f t="shared" si="17"/>
        <v>5.8901472553383245</v>
      </c>
    </row>
    <row r="91" spans="1:32" x14ac:dyDescent="0.2">
      <c r="C91" s="11"/>
    </row>
    <row r="92" spans="1:32" x14ac:dyDescent="0.2">
      <c r="A92" s="27" t="s">
        <v>74</v>
      </c>
      <c r="C92" s="11" t="s">
        <v>9</v>
      </c>
      <c r="H92" s="40">
        <f>+H79-H90</f>
        <v>16.368786546480603</v>
      </c>
      <c r="I92" s="40">
        <f t="shared" ref="I92:AF92" si="18">+I79-I90</f>
        <v>16.778006210142618</v>
      </c>
      <c r="J92" s="40">
        <f t="shared" si="18"/>
        <v>17.197456365396178</v>
      </c>
      <c r="K92" s="40">
        <f t="shared" si="18"/>
        <v>17.627392774531085</v>
      </c>
      <c r="L92" s="40">
        <f t="shared" si="18"/>
        <v>18.068077593894358</v>
      </c>
      <c r="M92" s="40">
        <f t="shared" si="18"/>
        <v>18.519779533741719</v>
      </c>
      <c r="N92" s="40">
        <f t="shared" si="18"/>
        <v>18.982774022085263</v>
      </c>
      <c r="O92" s="40">
        <f t="shared" si="18"/>
        <v>19.457343372637389</v>
      </c>
      <c r="P92" s="40">
        <f t="shared" si="18"/>
        <v>19.943776956953329</v>
      </c>
      <c r="Q92" s="40">
        <f t="shared" si="18"/>
        <v>20.442371380877155</v>
      </c>
      <c r="R92" s="40">
        <f t="shared" si="18"/>
        <v>20.953430665399082</v>
      </c>
      <c r="S92" s="40">
        <f t="shared" si="18"/>
        <v>21.47726643203406</v>
      </c>
      <c r="T92" s="40">
        <f t="shared" si="18"/>
        <v>22.01419809283491</v>
      </c>
      <c r="U92" s="40">
        <f t="shared" si="18"/>
        <v>22.56455304515578</v>
      </c>
      <c r="V92" s="40">
        <f t="shared" si="18"/>
        <v>23.128666871284672</v>
      </c>
      <c r="W92" s="40">
        <f t="shared" si="18"/>
        <v>23.706883543066787</v>
      </c>
      <c r="X92" s="40">
        <f t="shared" si="18"/>
        <v>24.299555631643454</v>
      </c>
      <c r="Y92" s="40">
        <f t="shared" si="18"/>
        <v>24.907044522434539</v>
      </c>
      <c r="Z92" s="40">
        <f t="shared" si="18"/>
        <v>25.529720635495398</v>
      </c>
      <c r="AA92" s="40">
        <f t="shared" si="18"/>
        <v>26.167963651382784</v>
      </c>
      <c r="AB92" s="40">
        <f t="shared" si="18"/>
        <v>26.822162742667352</v>
      </c>
      <c r="AC92" s="40">
        <f t="shared" si="18"/>
        <v>27.492716811234036</v>
      </c>
      <c r="AD92" s="40">
        <f t="shared" si="18"/>
        <v>28.18003473151488</v>
      </c>
      <c r="AE92" s="40">
        <f t="shared" si="18"/>
        <v>28.884535599802749</v>
      </c>
      <c r="AF92" s="40">
        <f t="shared" si="18"/>
        <v>29.606648989797815</v>
      </c>
    </row>
    <row r="93" spans="1:32" x14ac:dyDescent="0.2">
      <c r="A93" s="27"/>
      <c r="C93" s="1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</row>
    <row r="94" spans="1:32" x14ac:dyDescent="0.2">
      <c r="A94" t="s">
        <v>75</v>
      </c>
      <c r="C94" s="11"/>
      <c r="G94" s="75">
        <f>-H90*0.5</f>
        <v>-1.6282586249999997</v>
      </c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</row>
    <row r="95" spans="1:32" x14ac:dyDescent="0.2">
      <c r="C95" s="11"/>
    </row>
    <row r="96" spans="1:32" x14ac:dyDescent="0.2">
      <c r="A96" t="s">
        <v>76</v>
      </c>
      <c r="C96" s="11" t="s">
        <v>9</v>
      </c>
      <c r="E96" s="42">
        <f>-E35</f>
        <v>-11.340000000000002</v>
      </c>
      <c r="F96" s="42">
        <f t="shared" ref="F96" si="19">-F35</f>
        <v>-45.360000000000007</v>
      </c>
      <c r="G96" s="42">
        <f>G94-G35</f>
        <v>-58.328258625000004</v>
      </c>
      <c r="H96" s="42">
        <f>+H92</f>
        <v>16.368786546480603</v>
      </c>
      <c r="I96" s="42">
        <f t="shared" ref="I96:AF96" si="20">+I92</f>
        <v>16.778006210142618</v>
      </c>
      <c r="J96" s="42">
        <f t="shared" si="20"/>
        <v>17.197456365396178</v>
      </c>
      <c r="K96" s="42">
        <f t="shared" si="20"/>
        <v>17.627392774531085</v>
      </c>
      <c r="L96" s="42">
        <f t="shared" si="20"/>
        <v>18.068077593894358</v>
      </c>
      <c r="M96" s="42">
        <f t="shared" si="20"/>
        <v>18.519779533741719</v>
      </c>
      <c r="N96" s="42">
        <f t="shared" si="20"/>
        <v>18.982774022085263</v>
      </c>
      <c r="O96" s="42">
        <f t="shared" si="20"/>
        <v>19.457343372637389</v>
      </c>
      <c r="P96" s="42">
        <f t="shared" si="20"/>
        <v>19.943776956953329</v>
      </c>
      <c r="Q96" s="42">
        <f t="shared" si="20"/>
        <v>20.442371380877155</v>
      </c>
      <c r="R96" s="42">
        <f t="shared" si="20"/>
        <v>20.953430665399082</v>
      </c>
      <c r="S96" s="42">
        <f t="shared" si="20"/>
        <v>21.47726643203406</v>
      </c>
      <c r="T96" s="42">
        <f t="shared" si="20"/>
        <v>22.01419809283491</v>
      </c>
      <c r="U96" s="42">
        <f t="shared" si="20"/>
        <v>22.56455304515578</v>
      </c>
      <c r="V96" s="42">
        <f t="shared" si="20"/>
        <v>23.128666871284672</v>
      </c>
      <c r="W96" s="42">
        <f t="shared" si="20"/>
        <v>23.706883543066787</v>
      </c>
      <c r="X96" s="42">
        <f t="shared" si="20"/>
        <v>24.299555631643454</v>
      </c>
      <c r="Y96" s="42">
        <f t="shared" si="20"/>
        <v>24.907044522434539</v>
      </c>
      <c r="Z96" s="42">
        <f t="shared" si="20"/>
        <v>25.529720635495398</v>
      </c>
      <c r="AA96" s="42">
        <f t="shared" si="20"/>
        <v>26.167963651382784</v>
      </c>
      <c r="AB96" s="42">
        <f t="shared" si="20"/>
        <v>26.822162742667352</v>
      </c>
      <c r="AC96" s="42">
        <f t="shared" si="20"/>
        <v>27.492716811234036</v>
      </c>
      <c r="AD96" s="42">
        <f t="shared" si="20"/>
        <v>28.18003473151488</v>
      </c>
      <c r="AE96" s="42">
        <f t="shared" si="20"/>
        <v>28.884535599802749</v>
      </c>
      <c r="AF96" s="42">
        <f t="shared" si="20"/>
        <v>29.606648989797815</v>
      </c>
    </row>
    <row r="97" spans="1:9" x14ac:dyDescent="0.2">
      <c r="C97" s="11"/>
    </row>
    <row r="98" spans="1:9" x14ac:dyDescent="0.2">
      <c r="A98" t="s">
        <v>77</v>
      </c>
      <c r="C98" s="11" t="s">
        <v>16</v>
      </c>
      <c r="E98" s="60">
        <f>+IRR(E96:AF96)</f>
        <v>0.14789650906952168</v>
      </c>
      <c r="G98" t="s">
        <v>228</v>
      </c>
    </row>
    <row r="99" spans="1:9" x14ac:dyDescent="0.2">
      <c r="A99" t="s">
        <v>78</v>
      </c>
      <c r="C99" s="11" t="s">
        <v>9</v>
      </c>
      <c r="E99" s="43">
        <f>+NPV(0.1,E96:AF96)</f>
        <v>44.297245658747137</v>
      </c>
      <c r="F99">
        <v>49.219161843052397</v>
      </c>
      <c r="G99" s="76">
        <f>E99-F99</f>
        <v>-4.9219161843052603</v>
      </c>
    </row>
    <row r="101" spans="1:9" x14ac:dyDescent="0.2">
      <c r="A101" s="1" t="s">
        <v>79</v>
      </c>
    </row>
    <row r="103" spans="1:9" x14ac:dyDescent="0.2">
      <c r="A103" s="27" t="s">
        <v>80</v>
      </c>
    </row>
    <row r="104" spans="1:9" x14ac:dyDescent="0.2">
      <c r="A104" t="s">
        <v>41</v>
      </c>
      <c r="C104" s="11" t="s">
        <v>10</v>
      </c>
      <c r="D104" s="44">
        <f>+E42</f>
        <v>3</v>
      </c>
    </row>
    <row r="105" spans="1:9" x14ac:dyDescent="0.2">
      <c r="A105" t="s">
        <v>42</v>
      </c>
      <c r="C105" s="11" t="s">
        <v>16</v>
      </c>
      <c r="D105" s="45">
        <f>+E43</f>
        <v>0.05</v>
      </c>
    </row>
    <row r="106" spans="1:9" x14ac:dyDescent="0.2">
      <c r="A106" t="s">
        <v>43</v>
      </c>
      <c r="C106" s="11" t="s">
        <v>16</v>
      </c>
      <c r="D106" s="45">
        <f>+E44</f>
        <v>0.5</v>
      </c>
    </row>
    <row r="107" spans="1:9" x14ac:dyDescent="0.2">
      <c r="D107" s="22"/>
    </row>
    <row r="108" spans="1:9" x14ac:dyDescent="0.2">
      <c r="A108" s="27" t="s">
        <v>81</v>
      </c>
      <c r="D108" s="22"/>
    </row>
    <row r="109" spans="1:9" x14ac:dyDescent="0.2">
      <c r="A109" t="s">
        <v>82</v>
      </c>
      <c r="C109" s="11" t="s">
        <v>12</v>
      </c>
      <c r="D109" s="22"/>
      <c r="E109" s="11" t="s">
        <v>13</v>
      </c>
      <c r="F109" s="11" t="s">
        <v>14</v>
      </c>
      <c r="G109" s="11" t="s">
        <v>15</v>
      </c>
      <c r="I109" s="11" t="s">
        <v>83</v>
      </c>
    </row>
    <row r="110" spans="1:9" x14ac:dyDescent="0.2">
      <c r="A110" t="s">
        <v>82</v>
      </c>
      <c r="C110" s="11" t="s">
        <v>16</v>
      </c>
      <c r="D110" s="22"/>
      <c r="E110" s="45">
        <f t="shared" ref="E110:G111" si="21">+E34</f>
        <v>0.1</v>
      </c>
      <c r="F110" s="45">
        <f t="shared" si="21"/>
        <v>0.4</v>
      </c>
      <c r="G110" s="45">
        <v>0.5</v>
      </c>
      <c r="I110" s="46">
        <f>+SUM(E110:G110)</f>
        <v>1</v>
      </c>
    </row>
    <row r="111" spans="1:9" x14ac:dyDescent="0.2">
      <c r="A111" t="s">
        <v>82</v>
      </c>
      <c r="C111" s="11" t="s">
        <v>9</v>
      </c>
      <c r="E111" s="23">
        <f t="shared" si="21"/>
        <v>11.340000000000002</v>
      </c>
      <c r="F111" s="23">
        <f t="shared" si="21"/>
        <v>45.360000000000007</v>
      </c>
      <c r="G111" s="23">
        <f t="shared" si="21"/>
        <v>56.7</v>
      </c>
      <c r="I111" s="47">
        <f>+SUM(E111:G111)</f>
        <v>113.4</v>
      </c>
    </row>
    <row r="113" spans="1:7" x14ac:dyDescent="0.2">
      <c r="A113" s="27" t="s">
        <v>84</v>
      </c>
      <c r="E113" s="11" t="s">
        <v>13</v>
      </c>
      <c r="F113" s="11" t="s">
        <v>14</v>
      </c>
      <c r="G113" s="11" t="s">
        <v>15</v>
      </c>
    </row>
    <row r="114" spans="1:7" x14ac:dyDescent="0.2">
      <c r="A114" t="s">
        <v>85</v>
      </c>
      <c r="C114" s="11" t="s">
        <v>9</v>
      </c>
      <c r="E114" s="39">
        <v>0</v>
      </c>
      <c r="F114" s="39">
        <f>+E119</f>
        <v>5.8117500000000009</v>
      </c>
      <c r="G114" s="39">
        <f>+F119</f>
        <v>29.349337500000004</v>
      </c>
    </row>
    <row r="115" spans="1:7" x14ac:dyDescent="0.2">
      <c r="A115" t="s">
        <v>86</v>
      </c>
      <c r="C115" s="11" t="s">
        <v>9</v>
      </c>
      <c r="E115" s="39">
        <f>+E111*$D$106</f>
        <v>5.6700000000000008</v>
      </c>
      <c r="F115" s="39">
        <f>+F111*$D$106</f>
        <v>22.680000000000003</v>
      </c>
      <c r="G115" s="39">
        <f>+G111*$D$106</f>
        <v>28.35</v>
      </c>
    </row>
    <row r="116" spans="1:7" x14ac:dyDescent="0.2">
      <c r="A116" t="s">
        <v>87</v>
      </c>
      <c r="C116" s="11" t="s">
        <v>9</v>
      </c>
      <c r="E116" s="39">
        <f>+E114+E115</f>
        <v>5.6700000000000008</v>
      </c>
      <c r="F116" s="39">
        <f>+F114+F115</f>
        <v>28.491750000000003</v>
      </c>
      <c r="G116" s="39">
        <f>+G114+G115</f>
        <v>57.699337500000006</v>
      </c>
    </row>
    <row r="117" spans="1:7" x14ac:dyDescent="0.2">
      <c r="A117" t="s">
        <v>88</v>
      </c>
      <c r="C117" s="11" t="s">
        <v>9</v>
      </c>
      <c r="E117" s="39">
        <f>+(E114+E116)/2</f>
        <v>2.8350000000000004</v>
      </c>
      <c r="F117" s="39">
        <f>+(F114+F116)/2</f>
        <v>17.151750000000003</v>
      </c>
      <c r="G117" s="39">
        <f>+(G114+G116)/2</f>
        <v>43.524337500000001</v>
      </c>
    </row>
    <row r="118" spans="1:7" x14ac:dyDescent="0.2">
      <c r="A118" t="s">
        <v>89</v>
      </c>
      <c r="C118" s="11" t="s">
        <v>9</v>
      </c>
      <c r="E118" s="39">
        <f>+E117*$D$105</f>
        <v>0.14175000000000001</v>
      </c>
      <c r="F118" s="39">
        <f>+F117*$D$105</f>
        <v>0.85758750000000017</v>
      </c>
      <c r="G118" s="39">
        <f>+G117*$D$105</f>
        <v>2.1762168750000002</v>
      </c>
    </row>
    <row r="119" spans="1:7" x14ac:dyDescent="0.2">
      <c r="A119" t="s">
        <v>90</v>
      </c>
      <c r="C119" s="11" t="s">
        <v>9</v>
      </c>
      <c r="E119" s="39">
        <f>+E116+E118</f>
        <v>5.8117500000000009</v>
      </c>
      <c r="F119" s="39">
        <f>+F116+F118</f>
        <v>29.349337500000004</v>
      </c>
      <c r="G119" s="39">
        <f>+G116+G118</f>
        <v>59.875554375000007</v>
      </c>
    </row>
    <row r="121" spans="1:7" x14ac:dyDescent="0.2">
      <c r="E121" s="11" t="s">
        <v>13</v>
      </c>
      <c r="F121" s="11" t="s">
        <v>14</v>
      </c>
      <c r="G121" s="11" t="s">
        <v>15</v>
      </c>
    </row>
    <row r="122" spans="1:7" x14ac:dyDescent="0.2">
      <c r="A122" t="s">
        <v>91</v>
      </c>
      <c r="C122" s="11" t="s">
        <v>9</v>
      </c>
      <c r="E122" s="37">
        <f>+E111-E115</f>
        <v>5.6700000000000008</v>
      </c>
      <c r="F122" s="37">
        <f t="shared" ref="F122:G122" si="22">+F111-F115</f>
        <v>22.680000000000003</v>
      </c>
      <c r="G122" s="37">
        <f t="shared" si="22"/>
        <v>28.35</v>
      </c>
    </row>
    <row r="123" spans="1:7" x14ac:dyDescent="0.2">
      <c r="A123" t="s">
        <v>92</v>
      </c>
      <c r="C123" s="11" t="s">
        <v>9</v>
      </c>
      <c r="E123" s="37">
        <f>+E122</f>
        <v>5.6700000000000008</v>
      </c>
      <c r="F123" s="37">
        <f>+E123+F122</f>
        <v>28.350000000000005</v>
      </c>
      <c r="G123" s="37">
        <f>+F123+G122</f>
        <v>56.7</v>
      </c>
    </row>
    <row r="125" spans="1:7" x14ac:dyDescent="0.2">
      <c r="A125" t="s">
        <v>93</v>
      </c>
      <c r="E125" s="11" t="s">
        <v>13</v>
      </c>
      <c r="F125" s="11" t="s">
        <v>14</v>
      </c>
      <c r="G125" s="11" t="s">
        <v>15</v>
      </c>
    </row>
    <row r="126" spans="1:7" x14ac:dyDescent="0.2">
      <c r="A126" t="s">
        <v>94</v>
      </c>
      <c r="C126" s="11" t="s">
        <v>9</v>
      </c>
      <c r="E126" s="40">
        <f>+E119</f>
        <v>5.8117500000000009</v>
      </c>
      <c r="F126" s="40">
        <f>+F119</f>
        <v>29.349337500000004</v>
      </c>
      <c r="G126" s="40">
        <f>+G119</f>
        <v>59.875554375000007</v>
      </c>
    </row>
    <row r="127" spans="1:7" x14ac:dyDescent="0.2">
      <c r="A127" t="s">
        <v>95</v>
      </c>
      <c r="C127" s="11" t="s">
        <v>9</v>
      </c>
      <c r="E127" s="37">
        <f>+E122</f>
        <v>5.6700000000000008</v>
      </c>
      <c r="F127" s="37">
        <f>+F123</f>
        <v>28.350000000000005</v>
      </c>
      <c r="G127" s="37">
        <f>+G123</f>
        <v>56.7</v>
      </c>
    </row>
    <row r="128" spans="1:7" x14ac:dyDescent="0.2">
      <c r="A128" t="s">
        <v>96</v>
      </c>
      <c r="C128" s="11" t="s">
        <v>9</v>
      </c>
      <c r="E128" s="40">
        <f>SUM(E126:E127)</f>
        <v>11.481750000000002</v>
      </c>
      <c r="F128" s="40">
        <f>SUM(F126:F127)</f>
        <v>57.699337500000013</v>
      </c>
      <c r="G128" s="40">
        <f>SUM(G126:G127)</f>
        <v>116.57555437500001</v>
      </c>
    </row>
    <row r="129" spans="1:7" x14ac:dyDescent="0.2">
      <c r="C129" s="11"/>
    </row>
    <row r="130" spans="1:7" x14ac:dyDescent="0.2">
      <c r="A130" s="27" t="s">
        <v>97</v>
      </c>
      <c r="C130" s="11"/>
    </row>
    <row r="131" spans="1:7" x14ac:dyDescent="0.2">
      <c r="G131" s="48"/>
    </row>
    <row r="132" spans="1:7" x14ac:dyDescent="0.2">
      <c r="A132" t="s">
        <v>98</v>
      </c>
      <c r="G132" s="48"/>
    </row>
    <row r="133" spans="1:7" x14ac:dyDescent="0.2">
      <c r="A133" t="s">
        <v>44</v>
      </c>
      <c r="C133" s="11" t="s">
        <v>10</v>
      </c>
      <c r="D133" s="44">
        <f>+E46</f>
        <v>15</v>
      </c>
      <c r="G133" s="48"/>
    </row>
    <row r="134" spans="1:7" x14ac:dyDescent="0.2">
      <c r="A134" t="s">
        <v>45</v>
      </c>
      <c r="C134" s="11" t="s">
        <v>16</v>
      </c>
      <c r="D134" s="64">
        <f>+E47</f>
        <v>6.5000000000000002E-2</v>
      </c>
      <c r="G134" s="48"/>
    </row>
    <row r="135" spans="1:7" x14ac:dyDescent="0.2">
      <c r="A135" t="s">
        <v>46</v>
      </c>
      <c r="C135" s="11" t="s">
        <v>16</v>
      </c>
      <c r="D135" s="45">
        <f>+E48</f>
        <v>0.59555420651468194</v>
      </c>
      <c r="G135" s="48"/>
    </row>
    <row r="136" spans="1:7" x14ac:dyDescent="0.2">
      <c r="G136" s="48"/>
    </row>
    <row r="137" spans="1:7" x14ac:dyDescent="0.2">
      <c r="A137" t="s">
        <v>99</v>
      </c>
      <c r="G137" s="48"/>
    </row>
    <row r="138" spans="1:7" x14ac:dyDescent="0.2">
      <c r="A138" t="s">
        <v>100</v>
      </c>
      <c r="C138" s="11" t="s">
        <v>9</v>
      </c>
      <c r="G138" s="39">
        <f>+G128*D135</f>
        <v>69.427061784812295</v>
      </c>
    </row>
    <row r="139" spans="1:7" x14ac:dyDescent="0.2">
      <c r="A139" t="s">
        <v>101</v>
      </c>
      <c r="C139" s="11" t="s">
        <v>9</v>
      </c>
      <c r="G139" s="39">
        <f>+G127</f>
        <v>56.7</v>
      </c>
    </row>
    <row r="140" spans="1:7" x14ac:dyDescent="0.2">
      <c r="A140" t="s">
        <v>102</v>
      </c>
      <c r="C140" s="11" t="s">
        <v>9</v>
      </c>
      <c r="G140" s="39">
        <f>+G138-G139</f>
        <v>12.727061784812292</v>
      </c>
    </row>
    <row r="141" spans="1:7" x14ac:dyDescent="0.2">
      <c r="A141" t="s">
        <v>103</v>
      </c>
      <c r="C141" s="11" t="s">
        <v>9</v>
      </c>
      <c r="G141" s="39">
        <f>+G139+G140</f>
        <v>69.427061784812295</v>
      </c>
    </row>
    <row r="142" spans="1:7" x14ac:dyDescent="0.2">
      <c r="A142" t="s">
        <v>104</v>
      </c>
      <c r="C142" s="11" t="s">
        <v>9</v>
      </c>
      <c r="G142" s="40">
        <f>+G138+G141</f>
        <v>138.85412356962459</v>
      </c>
    </row>
    <row r="143" spans="1:7" x14ac:dyDescent="0.2">
      <c r="G143" s="48"/>
    </row>
    <row r="144" spans="1:7" x14ac:dyDescent="0.2">
      <c r="A144" t="s">
        <v>105</v>
      </c>
      <c r="G144" s="49"/>
    </row>
    <row r="145" spans="1:22" x14ac:dyDescent="0.2">
      <c r="A145" t="s">
        <v>106</v>
      </c>
      <c r="C145" s="11" t="s">
        <v>9</v>
      </c>
      <c r="D145" s="50">
        <v>6</v>
      </c>
      <c r="E145" t="s">
        <v>107</v>
      </c>
      <c r="G145" s="51">
        <f>-D145/12*H157</f>
        <v>3.6918806169510621</v>
      </c>
    </row>
    <row r="146" spans="1:22" x14ac:dyDescent="0.2">
      <c r="A146" t="s">
        <v>108</v>
      </c>
      <c r="C146" s="11" t="s">
        <v>9</v>
      </c>
      <c r="D146" s="50">
        <v>6</v>
      </c>
      <c r="E146" t="s">
        <v>107</v>
      </c>
      <c r="G146" s="37">
        <f>+D146/12*H90</f>
        <v>1.6282586249999997</v>
      </c>
    </row>
    <row r="147" spans="1:22" x14ac:dyDescent="0.2">
      <c r="A147" t="s">
        <v>109</v>
      </c>
      <c r="C147" s="11" t="s">
        <v>9</v>
      </c>
      <c r="G147" s="37">
        <f>+G145+G146</f>
        <v>5.320139241951062</v>
      </c>
    </row>
    <row r="148" spans="1:22" x14ac:dyDescent="0.2">
      <c r="G148" s="52"/>
    </row>
    <row r="149" spans="1:22" x14ac:dyDescent="0.2">
      <c r="A149" t="s">
        <v>110</v>
      </c>
      <c r="C149" s="11" t="s">
        <v>9</v>
      </c>
      <c r="G149" s="37">
        <f>+G141+G147</f>
        <v>74.747201026763364</v>
      </c>
    </row>
    <row r="151" spans="1:22" x14ac:dyDescent="0.2">
      <c r="A151" t="s">
        <v>111</v>
      </c>
      <c r="H151" s="53">
        <v>1</v>
      </c>
      <c r="I151" s="53">
        <f>+H151+1</f>
        <v>2</v>
      </c>
      <c r="J151" s="53">
        <f t="shared" ref="J151:M151" si="23">+I151+1</f>
        <v>3</v>
      </c>
      <c r="K151" s="53">
        <f t="shared" si="23"/>
        <v>4</v>
      </c>
      <c r="L151" s="53">
        <f t="shared" si="23"/>
        <v>5</v>
      </c>
      <c r="M151" s="53">
        <f t="shared" si="23"/>
        <v>6</v>
      </c>
      <c r="N151" s="53">
        <v>7</v>
      </c>
      <c r="O151" s="53">
        <v>8</v>
      </c>
      <c r="P151" s="53">
        <v>9</v>
      </c>
      <c r="Q151" s="53">
        <f t="shared" ref="Q151:S151" si="24">+P151+1</f>
        <v>10</v>
      </c>
      <c r="R151" s="53">
        <f t="shared" si="24"/>
        <v>11</v>
      </c>
      <c r="S151" s="53">
        <f t="shared" si="24"/>
        <v>12</v>
      </c>
      <c r="T151" s="53">
        <v>13</v>
      </c>
      <c r="U151" s="53">
        <v>14</v>
      </c>
      <c r="V151" s="53">
        <v>15</v>
      </c>
    </row>
    <row r="153" spans="1:22" x14ac:dyDescent="0.2">
      <c r="A153" t="s">
        <v>112</v>
      </c>
      <c r="C153" s="11" t="s">
        <v>9</v>
      </c>
      <c r="H153" s="37">
        <f>+G138</f>
        <v>69.427061784812295</v>
      </c>
      <c r="I153" s="51">
        <f>+H159</f>
        <v>66.556059566922968</v>
      </c>
      <c r="J153" s="51">
        <f t="shared" ref="J153:M153" si="25">+I159</f>
        <v>63.498442204870841</v>
      </c>
      <c r="K153" s="51">
        <f t="shared" si="25"/>
        <v>60.242079714285325</v>
      </c>
      <c r="L153" s="51">
        <f t="shared" si="25"/>
        <v>56.774053661811749</v>
      </c>
      <c r="M153" s="51">
        <f t="shared" si="25"/>
        <v>53.080605915927386</v>
      </c>
      <c r="N153" s="37">
        <f t="shared" ref="N153" si="26">+M138</f>
        <v>0</v>
      </c>
      <c r="O153" s="51">
        <f t="shared" ref="O153:S153" si="27">+N159</f>
        <v>-4.1892007695756899</v>
      </c>
      <c r="P153" s="51">
        <f t="shared" si="27"/>
        <v>-8.6506995891738008</v>
      </c>
      <c r="Q153" s="51">
        <f t="shared" si="27"/>
        <v>-13.402195832045788</v>
      </c>
      <c r="R153" s="51">
        <f t="shared" si="27"/>
        <v>-18.462539330704452</v>
      </c>
      <c r="S153" s="51">
        <f t="shared" si="27"/>
        <v>-23.851805156775931</v>
      </c>
      <c r="T153" s="37">
        <f t="shared" ref="T153" si="28">+S138</f>
        <v>0</v>
      </c>
      <c r="U153" s="51">
        <f t="shared" ref="U153:V153" si="29">+T159</f>
        <v>-6.1126400315759231</v>
      </c>
      <c r="V153" s="51">
        <f t="shared" si="29"/>
        <v>-12.622601665204282</v>
      </c>
    </row>
    <row r="154" spans="1:22" x14ac:dyDescent="0.2">
      <c r="C154" s="11"/>
    </row>
    <row r="155" spans="1:22" x14ac:dyDescent="0.2">
      <c r="A155" t="s">
        <v>113</v>
      </c>
      <c r="C155" s="11" t="s">
        <v>9</v>
      </c>
      <c r="H155" s="51">
        <f>+PPMT($D$134,H151,$D$133,$G$138)</f>
        <v>-2.8710022178893251</v>
      </c>
      <c r="I155" s="51">
        <f t="shared" ref="I155:V155" si="30">+PPMT($D$134,I151,$D$133,$G$138)</f>
        <v>-3.057617362052131</v>
      </c>
      <c r="J155" s="51">
        <f t="shared" si="30"/>
        <v>-3.2563624905855195</v>
      </c>
      <c r="K155" s="51">
        <f t="shared" si="30"/>
        <v>-3.468026052473578</v>
      </c>
      <c r="L155" s="51">
        <f t="shared" si="30"/>
        <v>-3.6934477458843618</v>
      </c>
      <c r="M155" s="51">
        <f t="shared" si="30"/>
        <v>-3.9335218493668442</v>
      </c>
      <c r="N155" s="51">
        <f t="shared" si="30"/>
        <v>-4.1892007695756899</v>
      </c>
      <c r="O155" s="51">
        <f t="shared" si="30"/>
        <v>-4.46149881959811</v>
      </c>
      <c r="P155" s="51">
        <f t="shared" si="30"/>
        <v>-4.7514962428719869</v>
      </c>
      <c r="Q155" s="51">
        <f t="shared" si="30"/>
        <v>-5.0603434986586651</v>
      </c>
      <c r="R155" s="51">
        <f t="shared" si="30"/>
        <v>-5.3892658260714787</v>
      </c>
      <c r="S155" s="51">
        <f t="shared" si="30"/>
        <v>-5.7395681047661249</v>
      </c>
      <c r="T155" s="51">
        <f t="shared" si="30"/>
        <v>-6.1126400315759231</v>
      </c>
      <c r="U155" s="51">
        <f t="shared" si="30"/>
        <v>-6.5099616336283583</v>
      </c>
      <c r="V155" s="51">
        <f t="shared" si="30"/>
        <v>-6.9331091398142011</v>
      </c>
    </row>
    <row r="156" spans="1:22" x14ac:dyDescent="0.2">
      <c r="A156" t="s">
        <v>114</v>
      </c>
      <c r="C156" s="11" t="s">
        <v>9</v>
      </c>
      <c r="H156" s="51">
        <f>+IPMT($D$134,H151,$D$133,$G$138)</f>
        <v>-4.5127590160127991</v>
      </c>
      <c r="I156" s="51">
        <f t="shared" ref="I156:V156" si="31">+IPMT($D$134,I151,$D$133,$G$138)</f>
        <v>-4.3261438718499932</v>
      </c>
      <c r="J156" s="51">
        <f t="shared" si="31"/>
        <v>-4.1273987433166051</v>
      </c>
      <c r="K156" s="51">
        <f t="shared" si="31"/>
        <v>-3.9157351814285462</v>
      </c>
      <c r="L156" s="51">
        <f t="shared" si="31"/>
        <v>-3.6903134880177642</v>
      </c>
      <c r="M156" s="51">
        <f t="shared" si="31"/>
        <v>-3.4502393845352803</v>
      </c>
      <c r="N156" s="51">
        <f t="shared" si="31"/>
        <v>-3.1945604643264356</v>
      </c>
      <c r="O156" s="51">
        <f t="shared" si="31"/>
        <v>-2.9222624143040155</v>
      </c>
      <c r="P156" s="51">
        <f t="shared" si="31"/>
        <v>-2.6322649910301381</v>
      </c>
      <c r="Q156" s="51">
        <f t="shared" si="31"/>
        <v>-2.3234177352434595</v>
      </c>
      <c r="R156" s="51">
        <f t="shared" si="31"/>
        <v>-1.9944954078306456</v>
      </c>
      <c r="S156" s="51">
        <f t="shared" si="31"/>
        <v>-1.6441931291359999</v>
      </c>
      <c r="T156" s="51">
        <f t="shared" si="31"/>
        <v>-1.2711212023262017</v>
      </c>
      <c r="U156" s="51">
        <f t="shared" si="31"/>
        <v>-0.87379960027376657</v>
      </c>
      <c r="V156" s="51">
        <f t="shared" si="31"/>
        <v>-0.45065209408792312</v>
      </c>
    </row>
    <row r="157" spans="1:22" x14ac:dyDescent="0.2">
      <c r="A157" t="s">
        <v>115</v>
      </c>
      <c r="C157" s="11" t="s">
        <v>9</v>
      </c>
      <c r="H157" s="51">
        <f>SUM(H155:H156)</f>
        <v>-7.3837612339021241</v>
      </c>
      <c r="I157" s="51">
        <f t="shared" ref="I157:V157" si="32">SUM(I155:I156)</f>
        <v>-7.3837612339021241</v>
      </c>
      <c r="J157" s="51">
        <f t="shared" si="32"/>
        <v>-7.3837612339021241</v>
      </c>
      <c r="K157" s="51">
        <f t="shared" si="32"/>
        <v>-7.3837612339021241</v>
      </c>
      <c r="L157" s="51">
        <f t="shared" si="32"/>
        <v>-7.3837612339021259</v>
      </c>
      <c r="M157" s="51">
        <f t="shared" si="32"/>
        <v>-7.3837612339021241</v>
      </c>
      <c r="N157" s="51">
        <f t="shared" si="32"/>
        <v>-7.3837612339021259</v>
      </c>
      <c r="O157" s="51">
        <f t="shared" si="32"/>
        <v>-7.3837612339021259</v>
      </c>
      <c r="P157" s="51">
        <f t="shared" si="32"/>
        <v>-7.383761233902125</v>
      </c>
      <c r="Q157" s="51">
        <f t="shared" si="32"/>
        <v>-7.3837612339021241</v>
      </c>
      <c r="R157" s="51">
        <f t="shared" si="32"/>
        <v>-7.3837612339021241</v>
      </c>
      <c r="S157" s="51">
        <f t="shared" si="32"/>
        <v>-7.383761233902125</v>
      </c>
      <c r="T157" s="51">
        <f t="shared" si="32"/>
        <v>-7.383761233902125</v>
      </c>
      <c r="U157" s="51">
        <f t="shared" si="32"/>
        <v>-7.383761233902125</v>
      </c>
      <c r="V157" s="51">
        <f t="shared" si="32"/>
        <v>-7.3837612339021241</v>
      </c>
    </row>
    <row r="159" spans="1:22" x14ac:dyDescent="0.2">
      <c r="A159" t="s">
        <v>116</v>
      </c>
      <c r="C159" s="11" t="s">
        <v>9</v>
      </c>
      <c r="H159" s="51">
        <f>+G138+H155</f>
        <v>66.556059566922968</v>
      </c>
      <c r="I159" s="51">
        <f>+H159+I155</f>
        <v>63.498442204870841</v>
      </c>
      <c r="J159" s="51">
        <f t="shared" ref="J159:M159" si="33">+I159+J155</f>
        <v>60.242079714285325</v>
      </c>
      <c r="K159" s="51">
        <f t="shared" si="33"/>
        <v>56.774053661811749</v>
      </c>
      <c r="L159" s="51">
        <f t="shared" si="33"/>
        <v>53.080605915927386</v>
      </c>
      <c r="M159" s="51">
        <f t="shared" si="33"/>
        <v>49.147084066560538</v>
      </c>
      <c r="N159" s="51">
        <f t="shared" ref="N159" si="34">+M138+N155</f>
        <v>-4.1892007695756899</v>
      </c>
      <c r="O159" s="51">
        <f t="shared" ref="O159:S159" si="35">+N159+O155</f>
        <v>-8.6506995891738008</v>
      </c>
      <c r="P159" s="51">
        <f t="shared" si="35"/>
        <v>-13.402195832045788</v>
      </c>
      <c r="Q159" s="51">
        <f t="shared" si="35"/>
        <v>-18.462539330704452</v>
      </c>
      <c r="R159" s="51">
        <f t="shared" si="35"/>
        <v>-23.851805156775931</v>
      </c>
      <c r="S159" s="51">
        <f t="shared" si="35"/>
        <v>-29.591373261542056</v>
      </c>
      <c r="T159" s="51">
        <f t="shared" ref="T159" si="36">+S138+T155</f>
        <v>-6.1126400315759231</v>
      </c>
      <c r="U159" s="51">
        <f t="shared" ref="U159:V159" si="37">+T159+U155</f>
        <v>-12.622601665204282</v>
      </c>
      <c r="V159" s="51">
        <f t="shared" si="37"/>
        <v>-19.555710805018485</v>
      </c>
    </row>
    <row r="161" spans="1:32" x14ac:dyDescent="0.2">
      <c r="A161" t="s">
        <v>74</v>
      </c>
      <c r="C161" s="11" t="s">
        <v>9</v>
      </c>
      <c r="H161" s="40">
        <f>+H92</f>
        <v>16.368786546480603</v>
      </c>
      <c r="I161" s="40">
        <f t="shared" ref="I161:V161" si="38">+I92</f>
        <v>16.778006210142618</v>
      </c>
      <c r="J161" s="40">
        <f t="shared" si="38"/>
        <v>17.197456365396178</v>
      </c>
      <c r="K161" s="40">
        <f t="shared" si="38"/>
        <v>17.627392774531085</v>
      </c>
      <c r="L161" s="40">
        <f t="shared" si="38"/>
        <v>18.068077593894358</v>
      </c>
      <c r="M161" s="40">
        <f t="shared" si="38"/>
        <v>18.519779533741719</v>
      </c>
      <c r="N161" s="40">
        <f t="shared" si="38"/>
        <v>18.982774022085263</v>
      </c>
      <c r="O161" s="40">
        <f t="shared" si="38"/>
        <v>19.457343372637389</v>
      </c>
      <c r="P161" s="40">
        <f t="shared" si="38"/>
        <v>19.943776956953329</v>
      </c>
      <c r="Q161" s="40">
        <f t="shared" si="38"/>
        <v>20.442371380877155</v>
      </c>
      <c r="R161" s="40">
        <f t="shared" si="38"/>
        <v>20.953430665399082</v>
      </c>
      <c r="S161" s="40">
        <f t="shared" si="38"/>
        <v>21.47726643203406</v>
      </c>
      <c r="T161" s="40">
        <f t="shared" si="38"/>
        <v>22.01419809283491</v>
      </c>
      <c r="U161" s="40">
        <f t="shared" si="38"/>
        <v>22.56455304515578</v>
      </c>
      <c r="V161" s="40">
        <f t="shared" si="38"/>
        <v>23.128666871284672</v>
      </c>
    </row>
    <row r="163" spans="1:32" x14ac:dyDescent="0.2">
      <c r="A163" t="s">
        <v>117</v>
      </c>
      <c r="C163" s="11" t="s">
        <v>118</v>
      </c>
      <c r="H163" s="54">
        <f>-H161/H157</f>
        <v>2.2168629277073912</v>
      </c>
      <c r="I163" s="54">
        <f t="shared" ref="I163:V163" si="39">-I161/I157</f>
        <v>2.2722845009000761</v>
      </c>
      <c r="J163" s="54">
        <f t="shared" si="39"/>
        <v>2.3290916134225772</v>
      </c>
      <c r="K163" s="54">
        <f t="shared" si="39"/>
        <v>2.3873189037581422</v>
      </c>
      <c r="L163" s="54">
        <f t="shared" si="39"/>
        <v>2.4470018763520947</v>
      </c>
      <c r="M163" s="54">
        <f t="shared" si="39"/>
        <v>2.5081769232608977</v>
      </c>
      <c r="N163" s="54">
        <f t="shared" si="39"/>
        <v>2.5708813463424196</v>
      </c>
      <c r="O163" s="54">
        <f t="shared" si="39"/>
        <v>2.6351533800009794</v>
      </c>
      <c r="P163" s="54">
        <f t="shared" si="39"/>
        <v>2.7010322145010051</v>
      </c>
      <c r="Q163" s="54">
        <f t="shared" si="39"/>
        <v>2.7685580198635296</v>
      </c>
      <c r="R163" s="54">
        <f t="shared" si="39"/>
        <v>2.8377719703601172</v>
      </c>
      <c r="S163" s="54">
        <f t="shared" si="39"/>
        <v>2.90871626961912</v>
      </c>
      <c r="T163" s="54">
        <f t="shared" si="39"/>
        <v>2.9814341763595977</v>
      </c>
      <c r="U163" s="54">
        <f t="shared" si="39"/>
        <v>3.0559700307685875</v>
      </c>
      <c r="V163" s="54">
        <f t="shared" si="39"/>
        <v>3.1323692815378021</v>
      </c>
    </row>
    <row r="165" spans="1:32" x14ac:dyDescent="0.2">
      <c r="B165" s="11" t="s">
        <v>119</v>
      </c>
      <c r="C165" s="11" t="s">
        <v>120</v>
      </c>
    </row>
    <row r="166" spans="1:32" x14ac:dyDescent="0.2">
      <c r="B166" s="55">
        <f>+MIN(H163:V163)</f>
        <v>2.2168629277073912</v>
      </c>
      <c r="C166" s="55">
        <f>+AVERAGE(H163:V163)</f>
        <v>2.6501748956502889</v>
      </c>
    </row>
    <row r="168" spans="1:32" x14ac:dyDescent="0.2">
      <c r="A168" s="1" t="s">
        <v>121</v>
      </c>
    </row>
    <row r="170" spans="1:32" x14ac:dyDescent="0.2">
      <c r="A170" t="s">
        <v>59</v>
      </c>
      <c r="H170">
        <v>1</v>
      </c>
      <c r="I170">
        <v>2</v>
      </c>
      <c r="J170">
        <v>3</v>
      </c>
      <c r="K170">
        <v>4</v>
      </c>
      <c r="L170">
        <v>5</v>
      </c>
      <c r="M170">
        <v>6</v>
      </c>
      <c r="N170">
        <v>7</v>
      </c>
      <c r="O170">
        <v>8</v>
      </c>
      <c r="P170">
        <v>9</v>
      </c>
      <c r="Q170">
        <v>10</v>
      </c>
      <c r="R170">
        <v>11</v>
      </c>
      <c r="S170">
        <v>12</v>
      </c>
      <c r="T170">
        <v>13</v>
      </c>
      <c r="U170">
        <v>14</v>
      </c>
      <c r="V170">
        <v>15</v>
      </c>
      <c r="W170">
        <v>16</v>
      </c>
      <c r="X170">
        <v>17</v>
      </c>
      <c r="Y170">
        <v>18</v>
      </c>
      <c r="Z170">
        <v>19</v>
      </c>
      <c r="AA170">
        <v>20</v>
      </c>
      <c r="AB170">
        <v>21</v>
      </c>
      <c r="AC170">
        <v>22</v>
      </c>
      <c r="AD170">
        <v>23</v>
      </c>
      <c r="AE170">
        <v>24</v>
      </c>
      <c r="AF170">
        <v>25</v>
      </c>
    </row>
    <row r="171" spans="1:32" x14ac:dyDescent="0.2">
      <c r="A171" t="s">
        <v>122</v>
      </c>
      <c r="E171">
        <v>1</v>
      </c>
      <c r="F171">
        <v>2</v>
      </c>
      <c r="G171">
        <v>3</v>
      </c>
    </row>
    <row r="173" spans="1:32" x14ac:dyDescent="0.2">
      <c r="A173" t="s">
        <v>74</v>
      </c>
      <c r="C173" s="11" t="s">
        <v>9</v>
      </c>
      <c r="E173" s="32"/>
      <c r="F173" s="32"/>
      <c r="G173" s="32"/>
      <c r="H173" s="33">
        <f>+H92</f>
        <v>16.368786546480603</v>
      </c>
      <c r="I173" s="33">
        <f t="shared" ref="I173:AF173" si="40">+I92</f>
        <v>16.778006210142618</v>
      </c>
      <c r="J173" s="33">
        <f t="shared" si="40"/>
        <v>17.197456365396178</v>
      </c>
      <c r="K173" s="33">
        <f t="shared" si="40"/>
        <v>17.627392774531085</v>
      </c>
      <c r="L173" s="33">
        <f t="shared" si="40"/>
        <v>18.068077593894358</v>
      </c>
      <c r="M173" s="33">
        <f t="shared" si="40"/>
        <v>18.519779533741719</v>
      </c>
      <c r="N173" s="33">
        <f t="shared" si="40"/>
        <v>18.982774022085263</v>
      </c>
      <c r="O173" s="33">
        <f t="shared" si="40"/>
        <v>19.457343372637389</v>
      </c>
      <c r="P173" s="33">
        <f t="shared" si="40"/>
        <v>19.943776956953329</v>
      </c>
      <c r="Q173" s="33">
        <f t="shared" si="40"/>
        <v>20.442371380877155</v>
      </c>
      <c r="R173" s="33">
        <f t="shared" si="40"/>
        <v>20.953430665399082</v>
      </c>
      <c r="S173" s="33">
        <f t="shared" si="40"/>
        <v>21.47726643203406</v>
      </c>
      <c r="T173" s="33">
        <f t="shared" si="40"/>
        <v>22.01419809283491</v>
      </c>
      <c r="U173" s="33">
        <f t="shared" si="40"/>
        <v>22.56455304515578</v>
      </c>
      <c r="V173" s="33">
        <f t="shared" si="40"/>
        <v>23.128666871284672</v>
      </c>
      <c r="W173" s="33">
        <f t="shared" si="40"/>
        <v>23.706883543066787</v>
      </c>
      <c r="X173" s="33">
        <f t="shared" si="40"/>
        <v>24.299555631643454</v>
      </c>
      <c r="Y173" s="33">
        <f t="shared" si="40"/>
        <v>24.907044522434539</v>
      </c>
      <c r="Z173" s="33">
        <f t="shared" si="40"/>
        <v>25.529720635495398</v>
      </c>
      <c r="AA173" s="33">
        <f t="shared" si="40"/>
        <v>26.167963651382784</v>
      </c>
      <c r="AB173" s="33">
        <f t="shared" si="40"/>
        <v>26.822162742667352</v>
      </c>
      <c r="AC173" s="33">
        <f t="shared" si="40"/>
        <v>27.492716811234036</v>
      </c>
      <c r="AD173" s="33">
        <f t="shared" si="40"/>
        <v>28.18003473151488</v>
      </c>
      <c r="AE173" s="33">
        <f t="shared" si="40"/>
        <v>28.884535599802749</v>
      </c>
      <c r="AF173" s="33">
        <f t="shared" si="40"/>
        <v>29.606648989797815</v>
      </c>
    </row>
    <row r="174" spans="1:32" x14ac:dyDescent="0.2">
      <c r="A174" t="s">
        <v>123</v>
      </c>
      <c r="C174" s="11" t="s">
        <v>9</v>
      </c>
      <c r="E174" s="32"/>
      <c r="F174" s="32"/>
      <c r="G174" s="32"/>
      <c r="H174" s="56">
        <f>+H157</f>
        <v>-7.3837612339021241</v>
      </c>
      <c r="I174" s="56">
        <f t="shared" ref="I174:AF174" si="41">+I157</f>
        <v>-7.3837612339021241</v>
      </c>
      <c r="J174" s="56">
        <f t="shared" si="41"/>
        <v>-7.3837612339021241</v>
      </c>
      <c r="K174" s="56">
        <f t="shared" si="41"/>
        <v>-7.3837612339021241</v>
      </c>
      <c r="L174" s="56">
        <f t="shared" si="41"/>
        <v>-7.3837612339021259</v>
      </c>
      <c r="M174" s="56">
        <f t="shared" si="41"/>
        <v>-7.3837612339021241</v>
      </c>
      <c r="N174" s="56">
        <f t="shared" si="41"/>
        <v>-7.3837612339021259</v>
      </c>
      <c r="O174" s="56">
        <f t="shared" si="41"/>
        <v>-7.3837612339021259</v>
      </c>
      <c r="P174" s="56">
        <f t="shared" si="41"/>
        <v>-7.383761233902125</v>
      </c>
      <c r="Q174" s="56">
        <f t="shared" si="41"/>
        <v>-7.3837612339021241</v>
      </c>
      <c r="R174" s="56">
        <f t="shared" si="41"/>
        <v>-7.3837612339021241</v>
      </c>
      <c r="S174" s="56">
        <f t="shared" si="41"/>
        <v>-7.383761233902125</v>
      </c>
      <c r="T174" s="56">
        <f t="shared" si="41"/>
        <v>-7.383761233902125</v>
      </c>
      <c r="U174" s="56">
        <f t="shared" si="41"/>
        <v>-7.383761233902125</v>
      </c>
      <c r="V174" s="56">
        <f t="shared" si="41"/>
        <v>-7.3837612339021241</v>
      </c>
      <c r="W174" s="56">
        <f t="shared" si="41"/>
        <v>0</v>
      </c>
      <c r="X174" s="56">
        <f t="shared" si="41"/>
        <v>0</v>
      </c>
      <c r="Y174" s="56">
        <f t="shared" si="41"/>
        <v>0</v>
      </c>
      <c r="Z174" s="56">
        <f t="shared" si="41"/>
        <v>0</v>
      </c>
      <c r="AA174" s="56">
        <f t="shared" si="41"/>
        <v>0</v>
      </c>
      <c r="AB174" s="56">
        <f t="shared" si="41"/>
        <v>0</v>
      </c>
      <c r="AC174" s="56">
        <f t="shared" si="41"/>
        <v>0</v>
      </c>
      <c r="AD174" s="56">
        <f t="shared" si="41"/>
        <v>0</v>
      </c>
      <c r="AE174" s="56">
        <f t="shared" si="41"/>
        <v>0</v>
      </c>
      <c r="AF174" s="56">
        <f t="shared" si="41"/>
        <v>0</v>
      </c>
    </row>
    <row r="175" spans="1:32" x14ac:dyDescent="0.2">
      <c r="A175" t="s">
        <v>124</v>
      </c>
      <c r="C175" s="11" t="s">
        <v>9</v>
      </c>
      <c r="E175" s="57">
        <f>-E122</f>
        <v>-5.6700000000000008</v>
      </c>
      <c r="F175" s="57">
        <f t="shared" ref="F175:AF175" si="42">-F122</f>
        <v>-22.680000000000003</v>
      </c>
      <c r="G175" s="57">
        <f>-G122-G147-G140</f>
        <v>-46.397201026763355</v>
      </c>
      <c r="H175" s="57">
        <f t="shared" si="42"/>
        <v>0</v>
      </c>
      <c r="I175" s="57">
        <f t="shared" si="42"/>
        <v>0</v>
      </c>
      <c r="J175" s="57">
        <f t="shared" si="42"/>
        <v>0</v>
      </c>
      <c r="K175" s="57">
        <f t="shared" si="42"/>
        <v>0</v>
      </c>
      <c r="L175" s="57">
        <f t="shared" si="42"/>
        <v>0</v>
      </c>
      <c r="M175" s="57">
        <f t="shared" si="42"/>
        <v>0</v>
      </c>
      <c r="N175" s="57">
        <f t="shared" si="42"/>
        <v>0</v>
      </c>
      <c r="O175" s="57">
        <f t="shared" si="42"/>
        <v>0</v>
      </c>
      <c r="P175" s="57">
        <f t="shared" si="42"/>
        <v>0</v>
      </c>
      <c r="Q175" s="57">
        <f t="shared" si="42"/>
        <v>0</v>
      </c>
      <c r="R175" s="57">
        <f t="shared" si="42"/>
        <v>0</v>
      </c>
      <c r="S175" s="57">
        <f t="shared" si="42"/>
        <v>0</v>
      </c>
      <c r="T175" s="57">
        <f t="shared" si="42"/>
        <v>0</v>
      </c>
      <c r="U175" s="57">
        <f t="shared" si="42"/>
        <v>0</v>
      </c>
      <c r="V175" s="57">
        <f t="shared" si="42"/>
        <v>0</v>
      </c>
      <c r="W175" s="57">
        <f t="shared" si="42"/>
        <v>0</v>
      </c>
      <c r="X175" s="57">
        <f t="shared" si="42"/>
        <v>0</v>
      </c>
      <c r="Y175" s="57">
        <f t="shared" si="42"/>
        <v>0</v>
      </c>
      <c r="Z175" s="57">
        <f t="shared" si="42"/>
        <v>0</v>
      </c>
      <c r="AA175" s="57">
        <f t="shared" si="42"/>
        <v>0</v>
      </c>
      <c r="AB175" s="57">
        <f t="shared" si="42"/>
        <v>0</v>
      </c>
      <c r="AC175" s="57">
        <f t="shared" si="42"/>
        <v>0</v>
      </c>
      <c r="AD175" s="57">
        <f t="shared" si="42"/>
        <v>0</v>
      </c>
      <c r="AE175" s="57">
        <f t="shared" si="42"/>
        <v>0</v>
      </c>
      <c r="AF175" s="57">
        <f t="shared" si="42"/>
        <v>0</v>
      </c>
    </row>
    <row r="176" spans="1:32" x14ac:dyDescent="0.2">
      <c r="A176" t="s">
        <v>121</v>
      </c>
      <c r="C176" s="11" t="s">
        <v>9</v>
      </c>
      <c r="E176" s="57">
        <f>SUM(E175)</f>
        <v>-5.6700000000000008</v>
      </c>
      <c r="F176" s="57">
        <f t="shared" ref="F176:G176" si="43">SUM(F175)</f>
        <v>-22.680000000000003</v>
      </c>
      <c r="G176" s="57">
        <f t="shared" si="43"/>
        <v>-46.397201026763355</v>
      </c>
      <c r="H176" s="57">
        <f>SUM(H173:H175)</f>
        <v>8.9850253125784789</v>
      </c>
      <c r="I176" s="57">
        <f t="shared" ref="I176:AF176" si="44">SUM(I173:I175)</f>
        <v>9.3942449762404934</v>
      </c>
      <c r="J176" s="57">
        <f t="shared" si="44"/>
        <v>9.8136951314940539</v>
      </c>
      <c r="K176" s="57">
        <f t="shared" si="44"/>
        <v>10.243631540628961</v>
      </c>
      <c r="L176" s="57">
        <f t="shared" si="44"/>
        <v>10.684316359992232</v>
      </c>
      <c r="M176" s="57">
        <f t="shared" si="44"/>
        <v>11.136018299839595</v>
      </c>
      <c r="N176" s="57">
        <f t="shared" si="44"/>
        <v>11.599012788183137</v>
      </c>
      <c r="O176" s="57">
        <f t="shared" si="44"/>
        <v>12.073582138735263</v>
      </c>
      <c r="P176" s="57">
        <f t="shared" si="44"/>
        <v>12.560015723051205</v>
      </c>
      <c r="Q176" s="57">
        <f t="shared" si="44"/>
        <v>13.058610146975031</v>
      </c>
      <c r="R176" s="57">
        <f t="shared" si="44"/>
        <v>13.569669431496958</v>
      </c>
      <c r="S176" s="57">
        <f t="shared" si="44"/>
        <v>14.093505198131936</v>
      </c>
      <c r="T176" s="57">
        <f t="shared" si="44"/>
        <v>14.630436858932786</v>
      </c>
      <c r="U176" s="57">
        <f t="shared" si="44"/>
        <v>15.180791811253656</v>
      </c>
      <c r="V176" s="57">
        <f t="shared" si="44"/>
        <v>15.744905637382548</v>
      </c>
      <c r="W176" s="57">
        <f t="shared" si="44"/>
        <v>23.706883543066787</v>
      </c>
      <c r="X176" s="57">
        <f t="shared" si="44"/>
        <v>24.299555631643454</v>
      </c>
      <c r="Y176" s="57">
        <f t="shared" si="44"/>
        <v>24.907044522434539</v>
      </c>
      <c r="Z176" s="57">
        <f t="shared" si="44"/>
        <v>25.529720635495398</v>
      </c>
      <c r="AA176" s="57">
        <f t="shared" si="44"/>
        <v>26.167963651382784</v>
      </c>
      <c r="AB176" s="57">
        <f t="shared" si="44"/>
        <v>26.822162742667352</v>
      </c>
      <c r="AC176" s="57">
        <f t="shared" si="44"/>
        <v>27.492716811234036</v>
      </c>
      <c r="AD176" s="57">
        <f t="shared" si="44"/>
        <v>28.18003473151488</v>
      </c>
      <c r="AE176" s="57">
        <f t="shared" si="44"/>
        <v>28.884535599802749</v>
      </c>
      <c r="AF176" s="57">
        <f t="shared" si="44"/>
        <v>29.606648989797815</v>
      </c>
    </row>
    <row r="177" spans="1:23" x14ac:dyDescent="0.2">
      <c r="C177" s="11"/>
    </row>
    <row r="178" spans="1:23" x14ac:dyDescent="0.2">
      <c r="A178" t="s">
        <v>125</v>
      </c>
      <c r="C178" s="11" t="s">
        <v>16</v>
      </c>
      <c r="E178" s="58">
        <f>+IRR(E176:AF176)</f>
        <v>0.15064675298175123</v>
      </c>
    </row>
    <row r="179" spans="1:23" x14ac:dyDescent="0.2">
      <c r="A179" t="s">
        <v>126</v>
      </c>
      <c r="C179" s="11" t="s">
        <v>9</v>
      </c>
      <c r="E179" s="43">
        <f>+NPV(0.1,E176:AF176)</f>
        <v>34.964625521691978</v>
      </c>
    </row>
    <row r="180" spans="1:23" x14ac:dyDescent="0.2">
      <c r="C180" s="11"/>
    </row>
    <row r="181" spans="1:23" x14ac:dyDescent="0.2">
      <c r="A181" s="1" t="s">
        <v>127</v>
      </c>
      <c r="C181" s="11"/>
    </row>
    <row r="182" spans="1:23" x14ac:dyDescent="0.2">
      <c r="A182" s="1"/>
      <c r="C182" s="11"/>
    </row>
    <row r="183" spans="1:23" x14ac:dyDescent="0.2">
      <c r="A183" s="1" t="s">
        <v>128</v>
      </c>
      <c r="C183" s="11"/>
    </row>
    <row r="184" spans="1:23" x14ac:dyDescent="0.2">
      <c r="A184" t="s">
        <v>129</v>
      </c>
      <c r="C184" s="11" t="s">
        <v>9</v>
      </c>
      <c r="G184" s="59">
        <f>+G142</f>
        <v>138.85412356962459</v>
      </c>
    </row>
    <row r="185" spans="1:23" x14ac:dyDescent="0.2">
      <c r="A185" t="s">
        <v>130</v>
      </c>
      <c r="C185" s="11" t="s">
        <v>9</v>
      </c>
      <c r="G185" s="59">
        <f>(-23.31)</f>
        <v>-23.31</v>
      </c>
    </row>
    <row r="186" spans="1:23" x14ac:dyDescent="0.2">
      <c r="A186" t="s">
        <v>131</v>
      </c>
      <c r="C186" s="11" t="s">
        <v>9</v>
      </c>
      <c r="G186" s="59">
        <f>SUM(G184:G185)</f>
        <v>115.54412356962459</v>
      </c>
    </row>
    <row r="187" spans="1:23" x14ac:dyDescent="0.2">
      <c r="A187" s="1"/>
      <c r="C187" s="11"/>
    </row>
    <row r="188" spans="1:23" x14ac:dyDescent="0.2">
      <c r="A188" s="1" t="s">
        <v>21</v>
      </c>
      <c r="C188" s="11"/>
    </row>
    <row r="189" spans="1:23" x14ac:dyDescent="0.2">
      <c r="A189" s="1" t="s">
        <v>22</v>
      </c>
      <c r="C189" s="11"/>
    </row>
    <row r="190" spans="1:23" x14ac:dyDescent="0.2">
      <c r="A190" s="1"/>
      <c r="C190" s="11"/>
    </row>
    <row r="191" spans="1:23" x14ac:dyDescent="0.2">
      <c r="A191" t="s">
        <v>132</v>
      </c>
      <c r="C191" s="11"/>
      <c r="E191" t="s">
        <v>21</v>
      </c>
      <c r="F191" s="1"/>
      <c r="H191" s="11">
        <v>1</v>
      </c>
      <c r="I191" s="11">
        <f>+H191+1</f>
        <v>2</v>
      </c>
      <c r="J191" s="11">
        <f t="shared" ref="J191:M191" si="45">+I191+1</f>
        <v>3</v>
      </c>
      <c r="K191" s="11">
        <f t="shared" si="45"/>
        <v>4</v>
      </c>
      <c r="L191" s="11">
        <f t="shared" si="45"/>
        <v>5</v>
      </c>
      <c r="M191" s="11">
        <f t="shared" si="45"/>
        <v>6</v>
      </c>
      <c r="N191" s="11">
        <v>7</v>
      </c>
      <c r="O191" s="11">
        <v>8</v>
      </c>
      <c r="P191" s="11">
        <v>9</v>
      </c>
      <c r="Q191" s="11">
        <v>10</v>
      </c>
      <c r="R191" s="11">
        <v>11</v>
      </c>
      <c r="S191" s="11">
        <v>12</v>
      </c>
      <c r="T191" s="11">
        <v>13</v>
      </c>
      <c r="U191" s="11">
        <v>14</v>
      </c>
      <c r="V191" s="11">
        <v>15</v>
      </c>
      <c r="W191" s="11">
        <v>16</v>
      </c>
    </row>
    <row r="192" spans="1:23" x14ac:dyDescent="0.2">
      <c r="C192" s="11"/>
    </row>
    <row r="193" spans="1:32" x14ac:dyDescent="0.2">
      <c r="A193" t="s">
        <v>128</v>
      </c>
      <c r="C193" s="11" t="s">
        <v>9</v>
      </c>
      <c r="H193" s="59">
        <f>+$G$186</f>
        <v>115.54412356962459</v>
      </c>
      <c r="I193" s="59">
        <f t="shared" ref="I193:M193" si="46">+$G$186</f>
        <v>115.54412356962459</v>
      </c>
      <c r="J193" s="59">
        <f t="shared" si="46"/>
        <v>115.54412356962459</v>
      </c>
      <c r="K193" s="59">
        <f t="shared" si="46"/>
        <v>115.54412356962459</v>
      </c>
      <c r="L193" s="59">
        <f t="shared" si="46"/>
        <v>115.54412356962459</v>
      </c>
      <c r="M193" s="59">
        <f t="shared" si="46"/>
        <v>115.54412356962459</v>
      </c>
      <c r="N193" s="59"/>
      <c r="O193" s="59"/>
      <c r="P193" s="59"/>
      <c r="Q193" s="59"/>
      <c r="R193" s="59"/>
      <c r="S193" s="59"/>
      <c r="T193" s="59"/>
      <c r="U193" s="59"/>
      <c r="V193" s="59"/>
      <c r="W193" s="59"/>
    </row>
    <row r="194" spans="1:32" x14ac:dyDescent="0.2">
      <c r="A194" t="s">
        <v>133</v>
      </c>
      <c r="C194" s="11" t="s">
        <v>9</v>
      </c>
      <c r="H194" s="60">
        <f>+H21</f>
        <v>0.2</v>
      </c>
      <c r="I194" s="60">
        <f t="shared" ref="I194:M194" si="47">+I21</f>
        <v>0.32</v>
      </c>
      <c r="J194" s="60">
        <f t="shared" si="47"/>
        <v>0.192</v>
      </c>
      <c r="K194" s="60">
        <f t="shared" si="47"/>
        <v>0.1152</v>
      </c>
      <c r="L194" s="60">
        <f t="shared" si="47"/>
        <v>0.1152</v>
      </c>
      <c r="M194" s="60">
        <f t="shared" si="47"/>
        <v>5.7599999999999998E-2</v>
      </c>
      <c r="N194" s="60"/>
      <c r="O194" s="60"/>
      <c r="P194" s="60"/>
      <c r="Q194" s="60"/>
      <c r="R194" s="60"/>
      <c r="S194" s="60"/>
      <c r="T194" s="60"/>
      <c r="U194" s="60"/>
      <c r="V194" s="60"/>
      <c r="W194" s="60"/>
    </row>
    <row r="195" spans="1:32" x14ac:dyDescent="0.2">
      <c r="A195" t="s">
        <v>22</v>
      </c>
      <c r="C195" s="11" t="s">
        <v>9</v>
      </c>
      <c r="H195" s="35">
        <f>+H193*H194</f>
        <v>23.108824713924918</v>
      </c>
      <c r="I195" s="35">
        <f t="shared" ref="I195:M195" si="48">+I193*I194</f>
        <v>36.974119542279873</v>
      </c>
      <c r="J195" s="35">
        <f t="shared" si="48"/>
        <v>22.184471725367921</v>
      </c>
      <c r="K195" s="35">
        <f t="shared" si="48"/>
        <v>13.310683035220752</v>
      </c>
      <c r="L195" s="35">
        <f t="shared" si="48"/>
        <v>13.310683035220752</v>
      </c>
      <c r="M195" s="35">
        <f t="shared" si="48"/>
        <v>6.6553415176103758</v>
      </c>
      <c r="N195" s="35"/>
      <c r="O195" s="35"/>
      <c r="P195" s="35"/>
      <c r="Q195" s="35"/>
      <c r="R195" s="35"/>
      <c r="S195" s="35"/>
      <c r="T195" s="35"/>
      <c r="U195" s="35"/>
      <c r="V195" s="35"/>
      <c r="W195" s="35"/>
    </row>
    <row r="196" spans="1:32" x14ac:dyDescent="0.2">
      <c r="C196" s="11"/>
    </row>
    <row r="197" spans="1:32" x14ac:dyDescent="0.2">
      <c r="A197" t="s">
        <v>134</v>
      </c>
      <c r="C197" s="11"/>
      <c r="H197" s="37">
        <f>+H195</f>
        <v>23.108824713924918</v>
      </c>
      <c r="I197" s="37">
        <f>+H197+I195</f>
        <v>60.08294425620479</v>
      </c>
      <c r="J197" s="37">
        <f t="shared" ref="J197:M197" si="49">+I197+J195</f>
        <v>82.267415981572711</v>
      </c>
      <c r="K197" s="37">
        <f t="shared" si="49"/>
        <v>95.578099016793459</v>
      </c>
      <c r="L197" s="37">
        <f t="shared" si="49"/>
        <v>108.88878205201421</v>
      </c>
      <c r="M197" s="37">
        <f t="shared" si="49"/>
        <v>115.54412356962459</v>
      </c>
      <c r="N197" s="37"/>
      <c r="O197" s="37"/>
      <c r="P197" s="37"/>
      <c r="Q197" s="37"/>
      <c r="R197" s="37"/>
      <c r="S197" s="37"/>
      <c r="T197" s="37"/>
      <c r="U197" s="37"/>
      <c r="V197" s="37"/>
      <c r="W197" s="37"/>
    </row>
    <row r="198" spans="1:32" x14ac:dyDescent="0.2">
      <c r="C198" s="11"/>
    </row>
    <row r="199" spans="1:32" x14ac:dyDescent="0.2">
      <c r="A199" t="s">
        <v>135</v>
      </c>
      <c r="C199" s="11" t="s">
        <v>9</v>
      </c>
      <c r="H199" s="59">
        <f>+H193-H197</f>
        <v>92.435298855699671</v>
      </c>
      <c r="I199" s="59">
        <f t="shared" ref="I199:M199" si="50">+I193-I197</f>
        <v>55.461179313419798</v>
      </c>
      <c r="J199" s="59">
        <f t="shared" si="50"/>
        <v>33.276707588051877</v>
      </c>
      <c r="K199" s="59">
        <f t="shared" si="50"/>
        <v>19.966024552831129</v>
      </c>
      <c r="L199" s="59">
        <f t="shared" si="50"/>
        <v>6.6553415176103812</v>
      </c>
      <c r="M199" s="59">
        <f t="shared" si="50"/>
        <v>0</v>
      </c>
      <c r="N199" s="59"/>
      <c r="O199" s="59"/>
      <c r="P199" s="59"/>
      <c r="Q199" s="59"/>
      <c r="R199" s="59"/>
      <c r="S199" s="59"/>
      <c r="T199" s="59"/>
      <c r="U199" s="59"/>
      <c r="V199" s="59"/>
      <c r="W199" s="59"/>
    </row>
    <row r="200" spans="1:32" x14ac:dyDescent="0.2">
      <c r="C200" s="11"/>
    </row>
    <row r="201" spans="1:32" x14ac:dyDescent="0.2">
      <c r="C201" s="11"/>
    </row>
    <row r="202" spans="1:32" x14ac:dyDescent="0.2">
      <c r="C202" s="11"/>
    </row>
    <row r="203" spans="1:32" x14ac:dyDescent="0.2">
      <c r="A203" s="27" t="s">
        <v>136</v>
      </c>
      <c r="C203" s="11"/>
      <c r="E203">
        <f>+E71</f>
        <v>2025</v>
      </c>
      <c r="F203">
        <f>+E203+1</f>
        <v>2026</v>
      </c>
      <c r="G203">
        <f t="shared" ref="G203:M203" si="51">+F203+1</f>
        <v>2027</v>
      </c>
      <c r="H203">
        <f t="shared" si="51"/>
        <v>2028</v>
      </c>
      <c r="I203">
        <f t="shared" si="51"/>
        <v>2029</v>
      </c>
      <c r="J203">
        <f t="shared" si="51"/>
        <v>2030</v>
      </c>
      <c r="K203">
        <f t="shared" si="51"/>
        <v>2031</v>
      </c>
      <c r="L203">
        <f t="shared" si="51"/>
        <v>2032</v>
      </c>
      <c r="M203">
        <f t="shared" si="51"/>
        <v>2033</v>
      </c>
      <c r="N203">
        <v>2034</v>
      </c>
      <c r="O203">
        <f t="shared" ref="O203:R203" si="52">+N203+1</f>
        <v>2035</v>
      </c>
      <c r="P203">
        <f t="shared" si="52"/>
        <v>2036</v>
      </c>
      <c r="Q203">
        <f t="shared" si="52"/>
        <v>2037</v>
      </c>
      <c r="R203">
        <f t="shared" si="52"/>
        <v>2038</v>
      </c>
      <c r="S203">
        <v>2035</v>
      </c>
      <c r="T203">
        <f t="shared" ref="T203:W203" si="53">+S203+1</f>
        <v>2036</v>
      </c>
      <c r="U203">
        <f t="shared" si="53"/>
        <v>2037</v>
      </c>
      <c r="V203">
        <f t="shared" si="53"/>
        <v>2038</v>
      </c>
      <c r="W203">
        <f t="shared" si="53"/>
        <v>2039</v>
      </c>
      <c r="X203">
        <v>2036</v>
      </c>
      <c r="Y203">
        <f t="shared" ref="Y203:AB203" si="54">+X203+1</f>
        <v>2037</v>
      </c>
      <c r="Z203">
        <f t="shared" si="54"/>
        <v>2038</v>
      </c>
      <c r="AA203">
        <f t="shared" si="54"/>
        <v>2039</v>
      </c>
      <c r="AB203">
        <f t="shared" si="54"/>
        <v>2040</v>
      </c>
      <c r="AC203">
        <v>2037</v>
      </c>
      <c r="AD203">
        <f t="shared" ref="AD203:AF203" si="55">+AC203+1</f>
        <v>2038</v>
      </c>
      <c r="AE203">
        <f t="shared" si="55"/>
        <v>2039</v>
      </c>
      <c r="AF203">
        <f t="shared" si="55"/>
        <v>2040</v>
      </c>
    </row>
    <row r="204" spans="1:32" x14ac:dyDescent="0.2">
      <c r="A204" s="1"/>
      <c r="C204" s="11"/>
    </row>
    <row r="205" spans="1:32" x14ac:dyDescent="0.2">
      <c r="A205" t="s">
        <v>59</v>
      </c>
      <c r="C205" s="11"/>
      <c r="H205">
        <v>1</v>
      </c>
      <c r="I205">
        <f>+H205+1</f>
        <v>2</v>
      </c>
      <c r="J205">
        <f t="shared" ref="J205:M205" si="56">+I205+1</f>
        <v>3</v>
      </c>
      <c r="K205">
        <f t="shared" si="56"/>
        <v>4</v>
      </c>
      <c r="L205">
        <f t="shared" si="56"/>
        <v>5</v>
      </c>
      <c r="M205">
        <f t="shared" si="56"/>
        <v>6</v>
      </c>
      <c r="N205">
        <v>7</v>
      </c>
    </row>
    <row r="206" spans="1:32" x14ac:dyDescent="0.2">
      <c r="A206" t="s">
        <v>60</v>
      </c>
      <c r="C206" s="11"/>
      <c r="E206">
        <v>1</v>
      </c>
      <c r="F206">
        <v>2</v>
      </c>
      <c r="G206">
        <v>3</v>
      </c>
    </row>
    <row r="207" spans="1:32" x14ac:dyDescent="0.2">
      <c r="A207" s="1"/>
      <c r="C207" s="11"/>
    </row>
    <row r="208" spans="1:32" x14ac:dyDescent="0.2">
      <c r="A208" t="s">
        <v>74</v>
      </c>
      <c r="C208" s="11" t="s">
        <v>9</v>
      </c>
      <c r="H208" s="35">
        <f>+H92</f>
        <v>16.368786546480603</v>
      </c>
      <c r="I208" s="35">
        <f t="shared" ref="I208:AF208" si="57">+I92</f>
        <v>16.778006210142618</v>
      </c>
      <c r="J208" s="35">
        <f t="shared" si="57"/>
        <v>17.197456365396178</v>
      </c>
      <c r="K208" s="35">
        <f t="shared" si="57"/>
        <v>17.627392774531085</v>
      </c>
      <c r="L208" s="35">
        <f t="shared" si="57"/>
        <v>18.068077593894358</v>
      </c>
      <c r="M208" s="35">
        <f t="shared" si="57"/>
        <v>18.519779533741719</v>
      </c>
      <c r="N208" s="35">
        <f t="shared" si="57"/>
        <v>18.982774022085263</v>
      </c>
      <c r="O208" s="35">
        <f t="shared" si="57"/>
        <v>19.457343372637389</v>
      </c>
      <c r="P208" s="35">
        <f t="shared" si="57"/>
        <v>19.943776956953329</v>
      </c>
      <c r="Q208" s="35">
        <f t="shared" si="57"/>
        <v>20.442371380877155</v>
      </c>
      <c r="R208" s="35">
        <f t="shared" si="57"/>
        <v>20.953430665399082</v>
      </c>
      <c r="S208" s="35">
        <f t="shared" si="57"/>
        <v>21.47726643203406</v>
      </c>
      <c r="T208" s="35">
        <f t="shared" si="57"/>
        <v>22.01419809283491</v>
      </c>
      <c r="U208" s="35">
        <f t="shared" si="57"/>
        <v>22.56455304515578</v>
      </c>
      <c r="V208" s="35">
        <f t="shared" si="57"/>
        <v>23.128666871284672</v>
      </c>
      <c r="W208" s="35">
        <f t="shared" si="57"/>
        <v>23.706883543066787</v>
      </c>
      <c r="X208" s="35">
        <f t="shared" si="57"/>
        <v>24.299555631643454</v>
      </c>
      <c r="Y208" s="35">
        <f t="shared" si="57"/>
        <v>24.907044522434539</v>
      </c>
      <c r="Z208" s="35">
        <f t="shared" si="57"/>
        <v>25.529720635495398</v>
      </c>
      <c r="AA208" s="35">
        <f t="shared" si="57"/>
        <v>26.167963651382784</v>
      </c>
      <c r="AB208" s="35">
        <f t="shared" si="57"/>
        <v>26.822162742667352</v>
      </c>
      <c r="AC208" s="35">
        <f t="shared" si="57"/>
        <v>27.492716811234036</v>
      </c>
      <c r="AD208" s="35">
        <f t="shared" si="57"/>
        <v>28.18003473151488</v>
      </c>
      <c r="AE208" s="35">
        <f t="shared" si="57"/>
        <v>28.884535599802749</v>
      </c>
      <c r="AF208" s="35">
        <f t="shared" si="57"/>
        <v>29.606648989797815</v>
      </c>
    </row>
    <row r="209" spans="1:32" x14ac:dyDescent="0.2">
      <c r="A209" t="s">
        <v>137</v>
      </c>
      <c r="C209" s="11" t="s">
        <v>9</v>
      </c>
      <c r="H209" s="35">
        <f>+H156</f>
        <v>-4.5127590160127991</v>
      </c>
      <c r="I209" s="35">
        <f t="shared" ref="I209:AF209" si="58">+I156</f>
        <v>-4.3261438718499932</v>
      </c>
      <c r="J209" s="35">
        <f t="shared" si="58"/>
        <v>-4.1273987433166051</v>
      </c>
      <c r="K209" s="35">
        <f t="shared" si="58"/>
        <v>-3.9157351814285462</v>
      </c>
      <c r="L209" s="35">
        <f t="shared" si="58"/>
        <v>-3.6903134880177642</v>
      </c>
      <c r="M209" s="35">
        <f t="shared" si="58"/>
        <v>-3.4502393845352803</v>
      </c>
      <c r="N209" s="35">
        <f t="shared" si="58"/>
        <v>-3.1945604643264356</v>
      </c>
      <c r="O209" s="35">
        <f t="shared" si="58"/>
        <v>-2.9222624143040155</v>
      </c>
      <c r="P209" s="35">
        <f t="shared" si="58"/>
        <v>-2.6322649910301381</v>
      </c>
      <c r="Q209" s="35">
        <f t="shared" si="58"/>
        <v>-2.3234177352434595</v>
      </c>
      <c r="R209" s="35">
        <f t="shared" si="58"/>
        <v>-1.9944954078306456</v>
      </c>
      <c r="S209" s="35">
        <f t="shared" si="58"/>
        <v>-1.6441931291359999</v>
      </c>
      <c r="T209" s="35">
        <f t="shared" si="58"/>
        <v>-1.2711212023262017</v>
      </c>
      <c r="U209" s="35">
        <f t="shared" si="58"/>
        <v>-0.87379960027376657</v>
      </c>
      <c r="V209" s="35">
        <f t="shared" si="58"/>
        <v>-0.45065209408792312</v>
      </c>
      <c r="W209" s="35">
        <f t="shared" si="58"/>
        <v>0</v>
      </c>
      <c r="X209" s="35">
        <f t="shared" si="58"/>
        <v>0</v>
      </c>
      <c r="Y209" s="35">
        <f t="shared" si="58"/>
        <v>0</v>
      </c>
      <c r="Z209" s="35">
        <f t="shared" si="58"/>
        <v>0</v>
      </c>
      <c r="AA209" s="35">
        <f t="shared" si="58"/>
        <v>0</v>
      </c>
      <c r="AB209" s="35">
        <f t="shared" si="58"/>
        <v>0</v>
      </c>
      <c r="AC209" s="35">
        <f t="shared" si="58"/>
        <v>0</v>
      </c>
      <c r="AD209" s="35">
        <f t="shared" si="58"/>
        <v>0</v>
      </c>
      <c r="AE209" s="35">
        <f t="shared" si="58"/>
        <v>0</v>
      </c>
      <c r="AF209" s="35">
        <f t="shared" si="58"/>
        <v>0</v>
      </c>
    </row>
    <row r="210" spans="1:32" x14ac:dyDescent="0.2">
      <c r="A210" t="s">
        <v>138</v>
      </c>
      <c r="C210" s="11" t="s">
        <v>9</v>
      </c>
      <c r="H210" s="35">
        <f>-H195</f>
        <v>-23.108824713924918</v>
      </c>
      <c r="I210" s="35">
        <f t="shared" ref="I210:AF210" si="59">-I195</f>
        <v>-36.974119542279873</v>
      </c>
      <c r="J210" s="35">
        <f t="shared" si="59"/>
        <v>-22.184471725367921</v>
      </c>
      <c r="K210" s="35">
        <f t="shared" si="59"/>
        <v>-13.310683035220752</v>
      </c>
      <c r="L210" s="35">
        <f t="shared" si="59"/>
        <v>-13.310683035220752</v>
      </c>
      <c r="M210" s="35">
        <f t="shared" si="59"/>
        <v>-6.6553415176103758</v>
      </c>
      <c r="N210" s="35">
        <f t="shared" si="59"/>
        <v>0</v>
      </c>
      <c r="O210" s="35">
        <f t="shared" si="59"/>
        <v>0</v>
      </c>
      <c r="P210" s="35">
        <f t="shared" si="59"/>
        <v>0</v>
      </c>
      <c r="Q210" s="35">
        <f t="shared" si="59"/>
        <v>0</v>
      </c>
      <c r="R210" s="35">
        <f t="shared" si="59"/>
        <v>0</v>
      </c>
      <c r="S210" s="35">
        <f t="shared" si="59"/>
        <v>0</v>
      </c>
      <c r="T210" s="35">
        <f t="shared" si="59"/>
        <v>0</v>
      </c>
      <c r="U210" s="35">
        <f t="shared" si="59"/>
        <v>0</v>
      </c>
      <c r="V210" s="35">
        <f t="shared" si="59"/>
        <v>0</v>
      </c>
      <c r="W210" s="35">
        <f t="shared" si="59"/>
        <v>0</v>
      </c>
      <c r="X210" s="35">
        <f t="shared" si="59"/>
        <v>0</v>
      </c>
      <c r="Y210" s="35">
        <f t="shared" si="59"/>
        <v>0</v>
      </c>
      <c r="Z210" s="35">
        <f t="shared" si="59"/>
        <v>0</v>
      </c>
      <c r="AA210" s="35">
        <f t="shared" si="59"/>
        <v>0</v>
      </c>
      <c r="AB210" s="35">
        <f t="shared" si="59"/>
        <v>0</v>
      </c>
      <c r="AC210" s="35">
        <f t="shared" si="59"/>
        <v>0</v>
      </c>
      <c r="AD210" s="35">
        <f t="shared" si="59"/>
        <v>0</v>
      </c>
      <c r="AE210" s="35">
        <f t="shared" si="59"/>
        <v>0</v>
      </c>
      <c r="AF210" s="35">
        <f t="shared" si="59"/>
        <v>0</v>
      </c>
    </row>
    <row r="211" spans="1:32" x14ac:dyDescent="0.2">
      <c r="A211" t="s">
        <v>139</v>
      </c>
      <c r="C211" s="11" t="s">
        <v>9</v>
      </c>
      <c r="H211" s="35">
        <f>SUM(H208:H210)</f>
        <v>-11.252797183457114</v>
      </c>
      <c r="I211" s="35">
        <f t="shared" ref="I211:AF211" si="60">SUM(I208:I210)</f>
        <v>-24.522257203987248</v>
      </c>
      <c r="J211" s="35">
        <f t="shared" si="60"/>
        <v>-9.1144141032883468</v>
      </c>
      <c r="K211" s="35">
        <f t="shared" si="60"/>
        <v>0.40097455788178671</v>
      </c>
      <c r="L211" s="35">
        <f t="shared" si="60"/>
        <v>1.067081070655842</v>
      </c>
      <c r="M211" s="35">
        <f t="shared" si="60"/>
        <v>8.4141986315960633</v>
      </c>
      <c r="N211" s="35">
        <f t="shared" si="60"/>
        <v>15.788213557758827</v>
      </c>
      <c r="O211" s="35">
        <f t="shared" si="60"/>
        <v>16.535080958333374</v>
      </c>
      <c r="P211" s="35">
        <f t="shared" si="60"/>
        <v>17.311511965923192</v>
      </c>
      <c r="Q211" s="35">
        <f t="shared" si="60"/>
        <v>18.118953645633695</v>
      </c>
      <c r="R211" s="35">
        <f t="shared" si="60"/>
        <v>18.958935257568438</v>
      </c>
      <c r="S211" s="35">
        <f t="shared" si="60"/>
        <v>19.833073302898061</v>
      </c>
      <c r="T211" s="35">
        <f t="shared" si="60"/>
        <v>20.743076890508707</v>
      </c>
      <c r="U211" s="35">
        <f t="shared" si="60"/>
        <v>21.690753444882013</v>
      </c>
      <c r="V211" s="35">
        <f t="shared" si="60"/>
        <v>22.678014777196747</v>
      </c>
      <c r="W211" s="35">
        <f t="shared" si="60"/>
        <v>23.706883543066787</v>
      </c>
      <c r="X211" s="35">
        <f t="shared" si="60"/>
        <v>24.299555631643454</v>
      </c>
      <c r="Y211" s="35">
        <f t="shared" si="60"/>
        <v>24.907044522434539</v>
      </c>
      <c r="Z211" s="35">
        <f t="shared" si="60"/>
        <v>25.529720635495398</v>
      </c>
      <c r="AA211" s="35">
        <f t="shared" si="60"/>
        <v>26.167963651382784</v>
      </c>
      <c r="AB211" s="35">
        <f t="shared" si="60"/>
        <v>26.822162742667352</v>
      </c>
      <c r="AC211" s="35">
        <f t="shared" si="60"/>
        <v>27.492716811234036</v>
      </c>
      <c r="AD211" s="35">
        <f t="shared" si="60"/>
        <v>28.18003473151488</v>
      </c>
      <c r="AE211" s="35">
        <f t="shared" si="60"/>
        <v>28.884535599802749</v>
      </c>
      <c r="AF211" s="35">
        <f t="shared" si="60"/>
        <v>29.606648989797815</v>
      </c>
    </row>
    <row r="212" spans="1:32" x14ac:dyDescent="0.2">
      <c r="A212" t="s">
        <v>140</v>
      </c>
      <c r="C212" s="11" t="s">
        <v>9</v>
      </c>
      <c r="H212" s="35">
        <f>-H211*$E$19</f>
        <v>2.3630874085259936</v>
      </c>
      <c r="I212" s="35">
        <f t="shared" ref="I212:AF212" si="61">-I211*$E$19</f>
        <v>5.1496740128373215</v>
      </c>
      <c r="J212" s="35">
        <f t="shared" si="61"/>
        <v>1.9140269616905528</v>
      </c>
      <c r="K212" s="35">
        <f t="shared" si="61"/>
        <v>-8.4204657155175208E-2</v>
      </c>
      <c r="L212" s="35">
        <f t="shared" si="61"/>
        <v>-0.22408702483772683</v>
      </c>
      <c r="M212" s="35">
        <f t="shared" si="61"/>
        <v>-1.7669817126351732</v>
      </c>
      <c r="N212" s="35">
        <f t="shared" si="61"/>
        <v>-3.3155248471293532</v>
      </c>
      <c r="O212" s="35">
        <f t="shared" si="61"/>
        <v>-3.4723670012500083</v>
      </c>
      <c r="P212" s="35">
        <f t="shared" si="61"/>
        <v>-3.6354175128438699</v>
      </c>
      <c r="Q212" s="35">
        <f t="shared" si="61"/>
        <v>-3.804980265583076</v>
      </c>
      <c r="R212" s="35">
        <f t="shared" si="61"/>
        <v>-3.9813764040893718</v>
      </c>
      <c r="S212" s="35">
        <f t="shared" si="61"/>
        <v>-4.1649453936085923</v>
      </c>
      <c r="T212" s="35">
        <f t="shared" si="61"/>
        <v>-4.3560461470068281</v>
      </c>
      <c r="U212" s="35">
        <f t="shared" si="61"/>
        <v>-4.5550582234252222</v>
      </c>
      <c r="V212" s="35">
        <f t="shared" si="61"/>
        <v>-4.7623831032113166</v>
      </c>
      <c r="W212" s="35">
        <f t="shared" si="61"/>
        <v>-4.9784455440440256</v>
      </c>
      <c r="X212" s="35">
        <f t="shared" si="61"/>
        <v>-5.1029066826451253</v>
      </c>
      <c r="Y212" s="35">
        <f t="shared" si="61"/>
        <v>-5.2304793497112527</v>
      </c>
      <c r="Z212" s="35">
        <f t="shared" si="61"/>
        <v>-5.361241333454033</v>
      </c>
      <c r="AA212" s="35">
        <f t="shared" si="61"/>
        <v>-5.4952723667903847</v>
      </c>
      <c r="AB212" s="35">
        <f t="shared" si="61"/>
        <v>-5.6326541759601438</v>
      </c>
      <c r="AC212" s="35">
        <f t="shared" si="61"/>
        <v>-5.7734705303591474</v>
      </c>
      <c r="AD212" s="35">
        <f t="shared" si="61"/>
        <v>-5.9178072936181243</v>
      </c>
      <c r="AE212" s="35">
        <f t="shared" si="61"/>
        <v>-6.0657524759585773</v>
      </c>
      <c r="AF212" s="35">
        <f t="shared" si="61"/>
        <v>-6.2173962878575413</v>
      </c>
    </row>
    <row r="213" spans="1:32" x14ac:dyDescent="0.2">
      <c r="A213" t="s">
        <v>141</v>
      </c>
      <c r="C213" s="11" t="s">
        <v>9</v>
      </c>
      <c r="H213" s="35">
        <v>0</v>
      </c>
      <c r="I213" s="35">
        <f>0.3*G184</f>
        <v>41.656237070887379</v>
      </c>
      <c r="J213" s="35">
        <v>0</v>
      </c>
      <c r="K213" s="35">
        <v>0</v>
      </c>
      <c r="L213" s="35">
        <v>0</v>
      </c>
      <c r="M213" s="35">
        <v>0</v>
      </c>
      <c r="N213" s="35">
        <v>1</v>
      </c>
      <c r="O213" s="35">
        <f t="shared" ref="O213" si="62">0.3*M184</f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2</v>
      </c>
      <c r="U213" s="35">
        <f t="shared" ref="U213" si="63">0.3*S184</f>
        <v>0</v>
      </c>
      <c r="V213" s="35">
        <v>0</v>
      </c>
      <c r="W213" s="35">
        <v>0</v>
      </c>
      <c r="X213" s="35">
        <v>0</v>
      </c>
      <c r="Y213" s="35">
        <v>0</v>
      </c>
      <c r="Z213" s="35">
        <v>3</v>
      </c>
      <c r="AA213" s="35">
        <f t="shared" ref="AA213" si="64">0.3*Y184</f>
        <v>0</v>
      </c>
      <c r="AB213" s="35">
        <v>0</v>
      </c>
      <c r="AC213" s="35">
        <v>0</v>
      </c>
      <c r="AD213" s="35">
        <v>0</v>
      </c>
      <c r="AE213" s="35">
        <v>0</v>
      </c>
      <c r="AF213" s="35">
        <v>4</v>
      </c>
    </row>
    <row r="214" spans="1:32" x14ac:dyDescent="0.2">
      <c r="A214" t="s">
        <v>142</v>
      </c>
      <c r="C214" s="11" t="s">
        <v>9</v>
      </c>
      <c r="H214" s="35">
        <f>+H212-H213</f>
        <v>2.3630874085259936</v>
      </c>
      <c r="I214" s="35">
        <f t="shared" ref="I214:AF214" si="65">+I212-I213</f>
        <v>-36.506563058050055</v>
      </c>
      <c r="J214" s="35">
        <f t="shared" si="65"/>
        <v>1.9140269616905528</v>
      </c>
      <c r="K214" s="35">
        <f t="shared" si="65"/>
        <v>-8.4204657155175208E-2</v>
      </c>
      <c r="L214" s="35">
        <f t="shared" si="65"/>
        <v>-0.22408702483772683</v>
      </c>
      <c r="M214" s="35">
        <f t="shared" si="65"/>
        <v>-1.7669817126351732</v>
      </c>
      <c r="N214" s="35">
        <f t="shared" si="65"/>
        <v>-4.3155248471293532</v>
      </c>
      <c r="O214" s="35">
        <f t="shared" si="65"/>
        <v>-3.4723670012500083</v>
      </c>
      <c r="P214" s="35">
        <f t="shared" si="65"/>
        <v>-3.6354175128438699</v>
      </c>
      <c r="Q214" s="35">
        <f t="shared" si="65"/>
        <v>-3.804980265583076</v>
      </c>
      <c r="R214" s="35">
        <f t="shared" si="65"/>
        <v>-3.9813764040893718</v>
      </c>
      <c r="S214" s="35">
        <f t="shared" si="65"/>
        <v>-4.1649453936085923</v>
      </c>
      <c r="T214" s="35">
        <f t="shared" si="65"/>
        <v>-6.3560461470068281</v>
      </c>
      <c r="U214" s="35">
        <f t="shared" si="65"/>
        <v>-4.5550582234252222</v>
      </c>
      <c r="V214" s="35">
        <f t="shared" si="65"/>
        <v>-4.7623831032113166</v>
      </c>
      <c r="W214" s="35">
        <f t="shared" si="65"/>
        <v>-4.9784455440440256</v>
      </c>
      <c r="X214" s="35">
        <f t="shared" si="65"/>
        <v>-5.1029066826451253</v>
      </c>
      <c r="Y214" s="35">
        <f t="shared" si="65"/>
        <v>-5.2304793497112527</v>
      </c>
      <c r="Z214" s="35">
        <f t="shared" si="65"/>
        <v>-8.3612413334540321</v>
      </c>
      <c r="AA214" s="35">
        <f t="shared" si="65"/>
        <v>-5.4952723667903847</v>
      </c>
      <c r="AB214" s="35">
        <f t="shared" si="65"/>
        <v>-5.6326541759601438</v>
      </c>
      <c r="AC214" s="35">
        <f t="shared" si="65"/>
        <v>-5.7734705303591474</v>
      </c>
      <c r="AD214" s="35">
        <f t="shared" si="65"/>
        <v>-5.9178072936181243</v>
      </c>
      <c r="AE214" s="35">
        <f t="shared" si="65"/>
        <v>-6.0657524759585773</v>
      </c>
      <c r="AF214" s="35">
        <f t="shared" si="65"/>
        <v>-10.217396287857541</v>
      </c>
    </row>
    <row r="215" spans="1:32" x14ac:dyDescent="0.2">
      <c r="A215" t="s">
        <v>143</v>
      </c>
      <c r="C215" s="11" t="s">
        <v>9</v>
      </c>
      <c r="H215" s="35">
        <f>+H211+H214</f>
        <v>-8.88970977493112</v>
      </c>
      <c r="I215" s="35">
        <f>+I211-I214</f>
        <v>11.984305854062807</v>
      </c>
      <c r="J215" s="35">
        <f t="shared" ref="J215:N215" si="66">+J211+J214</f>
        <v>-7.200387141597794</v>
      </c>
      <c r="K215" s="35">
        <f t="shared" si="66"/>
        <v>0.31676990072661149</v>
      </c>
      <c r="L215" s="35">
        <f t="shared" si="66"/>
        <v>0.84299404581811521</v>
      </c>
      <c r="M215" s="35">
        <f t="shared" si="66"/>
        <v>6.6472169189608898</v>
      </c>
      <c r="N215" s="35">
        <f t="shared" si="66"/>
        <v>11.472688710629473</v>
      </c>
      <c r="O215" s="35">
        <f t="shared" ref="O215" si="67">+O211-O214</f>
        <v>20.007447959583381</v>
      </c>
      <c r="P215" s="35">
        <f t="shared" ref="P215:T215" si="68">+P211+P214</f>
        <v>13.676094453079322</v>
      </c>
      <c r="Q215" s="35">
        <f t="shared" si="68"/>
        <v>14.313973380050619</v>
      </c>
      <c r="R215" s="35">
        <f t="shared" si="68"/>
        <v>14.977558853479067</v>
      </c>
      <c r="S215" s="35">
        <f t="shared" si="68"/>
        <v>15.668127909289469</v>
      </c>
      <c r="T215" s="35">
        <f t="shared" si="68"/>
        <v>14.387030743501878</v>
      </c>
      <c r="U215" s="35">
        <f t="shared" ref="U215" si="69">+U211-U214</f>
        <v>26.245811668307233</v>
      </c>
      <c r="V215" s="35">
        <f t="shared" ref="V215:Z215" si="70">+V211+V214</f>
        <v>17.91563167398543</v>
      </c>
      <c r="W215" s="35">
        <f t="shared" si="70"/>
        <v>18.728437999022763</v>
      </c>
      <c r="X215" s="35">
        <f t="shared" si="70"/>
        <v>19.19664894899833</v>
      </c>
      <c r="Y215" s="35">
        <f t="shared" si="70"/>
        <v>19.676565172723286</v>
      </c>
      <c r="Z215" s="35">
        <f t="shared" si="70"/>
        <v>17.168479302041366</v>
      </c>
      <c r="AA215" s="35">
        <f t="shared" ref="AA215" si="71">+AA211-AA214</f>
        <v>31.663236018173169</v>
      </c>
      <c r="AB215" s="35">
        <f t="shared" ref="AB215:AF215" si="72">+AB211+AB214</f>
        <v>21.189508566707207</v>
      </c>
      <c r="AC215" s="35">
        <f t="shared" si="72"/>
        <v>21.719246280874888</v>
      </c>
      <c r="AD215" s="35">
        <f t="shared" si="72"/>
        <v>22.262227437896755</v>
      </c>
      <c r="AE215" s="35">
        <f t="shared" si="72"/>
        <v>22.81878312384417</v>
      </c>
      <c r="AF215" s="35">
        <f t="shared" si="72"/>
        <v>19.389252701940272</v>
      </c>
    </row>
    <row r="216" spans="1:32" x14ac:dyDescent="0.2">
      <c r="C216" s="11"/>
    </row>
    <row r="217" spans="1:32" x14ac:dyDescent="0.2">
      <c r="C217" s="11"/>
    </row>
    <row r="218" spans="1:32" x14ac:dyDescent="0.2">
      <c r="A218" s="1" t="s">
        <v>144</v>
      </c>
      <c r="C218" s="11"/>
    </row>
    <row r="219" spans="1:32" x14ac:dyDescent="0.2">
      <c r="A219" t="s">
        <v>145</v>
      </c>
      <c r="C219" s="11" t="s">
        <v>9</v>
      </c>
      <c r="H219" s="35">
        <f>+H215</f>
        <v>-8.88970977493112</v>
      </c>
      <c r="I219" s="35">
        <f t="shared" ref="I219:AF219" si="73">+I215</f>
        <v>11.984305854062807</v>
      </c>
      <c r="J219" s="35">
        <f t="shared" si="73"/>
        <v>-7.200387141597794</v>
      </c>
      <c r="K219" s="35">
        <f t="shared" si="73"/>
        <v>0.31676990072661149</v>
      </c>
      <c r="L219" s="35">
        <f t="shared" si="73"/>
        <v>0.84299404581811521</v>
      </c>
      <c r="M219" s="35">
        <f t="shared" si="73"/>
        <v>6.6472169189608898</v>
      </c>
      <c r="N219" s="35">
        <f t="shared" si="73"/>
        <v>11.472688710629473</v>
      </c>
      <c r="O219" s="35">
        <f t="shared" si="73"/>
        <v>20.007447959583381</v>
      </c>
      <c r="P219" s="35">
        <f t="shared" si="73"/>
        <v>13.676094453079322</v>
      </c>
      <c r="Q219" s="35">
        <f t="shared" si="73"/>
        <v>14.313973380050619</v>
      </c>
      <c r="R219" s="35">
        <f t="shared" si="73"/>
        <v>14.977558853479067</v>
      </c>
      <c r="S219" s="35">
        <f t="shared" si="73"/>
        <v>15.668127909289469</v>
      </c>
      <c r="T219" s="35">
        <f t="shared" si="73"/>
        <v>14.387030743501878</v>
      </c>
      <c r="U219" s="35">
        <f t="shared" si="73"/>
        <v>26.245811668307233</v>
      </c>
      <c r="V219" s="35">
        <f t="shared" si="73"/>
        <v>17.91563167398543</v>
      </c>
      <c r="W219" s="35">
        <f t="shared" si="73"/>
        <v>18.728437999022763</v>
      </c>
      <c r="X219" s="35">
        <f t="shared" si="73"/>
        <v>19.19664894899833</v>
      </c>
      <c r="Y219" s="35">
        <f t="shared" si="73"/>
        <v>19.676565172723286</v>
      </c>
      <c r="Z219" s="35">
        <f t="shared" si="73"/>
        <v>17.168479302041366</v>
      </c>
      <c r="AA219" s="35">
        <f t="shared" si="73"/>
        <v>31.663236018173169</v>
      </c>
      <c r="AB219" s="35">
        <f t="shared" si="73"/>
        <v>21.189508566707207</v>
      </c>
      <c r="AC219" s="35">
        <f t="shared" si="73"/>
        <v>21.719246280874888</v>
      </c>
      <c r="AD219" s="35">
        <f t="shared" si="73"/>
        <v>22.262227437896755</v>
      </c>
      <c r="AE219" s="35">
        <f t="shared" si="73"/>
        <v>22.81878312384417</v>
      </c>
      <c r="AF219" s="35">
        <f t="shared" si="73"/>
        <v>19.389252701940272</v>
      </c>
    </row>
    <row r="220" spans="1:32" x14ac:dyDescent="0.2">
      <c r="A220" t="s">
        <v>146</v>
      </c>
      <c r="C220" s="11" t="s">
        <v>9</v>
      </c>
      <c r="H220" s="35">
        <f>-H210</f>
        <v>23.108824713924918</v>
      </c>
      <c r="I220" s="35">
        <f t="shared" ref="I220:AF220" si="74">-I210</f>
        <v>36.974119542279873</v>
      </c>
      <c r="J220" s="35">
        <f t="shared" si="74"/>
        <v>22.184471725367921</v>
      </c>
      <c r="K220" s="35">
        <f t="shared" si="74"/>
        <v>13.310683035220752</v>
      </c>
      <c r="L220" s="35">
        <f t="shared" si="74"/>
        <v>13.310683035220752</v>
      </c>
      <c r="M220" s="35">
        <f t="shared" si="74"/>
        <v>6.6553415176103758</v>
      </c>
      <c r="N220" s="35">
        <f t="shared" si="74"/>
        <v>0</v>
      </c>
      <c r="O220" s="35">
        <f t="shared" si="74"/>
        <v>0</v>
      </c>
      <c r="P220" s="35">
        <f t="shared" si="74"/>
        <v>0</v>
      </c>
      <c r="Q220" s="35">
        <f t="shared" si="74"/>
        <v>0</v>
      </c>
      <c r="R220" s="35">
        <f t="shared" si="74"/>
        <v>0</v>
      </c>
      <c r="S220" s="35">
        <f t="shared" si="74"/>
        <v>0</v>
      </c>
      <c r="T220" s="35">
        <f t="shared" si="74"/>
        <v>0</v>
      </c>
      <c r="U220" s="35">
        <f t="shared" si="74"/>
        <v>0</v>
      </c>
      <c r="V220" s="35">
        <f t="shared" si="74"/>
        <v>0</v>
      </c>
      <c r="W220" s="35">
        <f t="shared" si="74"/>
        <v>0</v>
      </c>
      <c r="X220" s="35">
        <f t="shared" si="74"/>
        <v>0</v>
      </c>
      <c r="Y220" s="35">
        <f t="shared" si="74"/>
        <v>0</v>
      </c>
      <c r="Z220" s="35">
        <f t="shared" si="74"/>
        <v>0</v>
      </c>
      <c r="AA220" s="35">
        <f t="shared" si="74"/>
        <v>0</v>
      </c>
      <c r="AB220" s="35">
        <f t="shared" si="74"/>
        <v>0</v>
      </c>
      <c r="AC220" s="35">
        <f t="shared" si="74"/>
        <v>0</v>
      </c>
      <c r="AD220" s="35">
        <f t="shared" si="74"/>
        <v>0</v>
      </c>
      <c r="AE220" s="35">
        <f t="shared" si="74"/>
        <v>0</v>
      </c>
      <c r="AF220" s="35">
        <f t="shared" si="74"/>
        <v>0</v>
      </c>
    </row>
    <row r="221" spans="1:32" x14ac:dyDescent="0.2">
      <c r="A221" t="s">
        <v>147</v>
      </c>
      <c r="C221" s="11" t="s">
        <v>9</v>
      </c>
      <c r="H221" s="35">
        <f>+H155</f>
        <v>-2.8710022178893251</v>
      </c>
      <c r="I221" s="35">
        <f t="shared" ref="I221:AF221" si="75">+I155</f>
        <v>-3.057617362052131</v>
      </c>
      <c r="J221" s="35">
        <f t="shared" si="75"/>
        <v>-3.2563624905855195</v>
      </c>
      <c r="K221" s="35">
        <f t="shared" si="75"/>
        <v>-3.468026052473578</v>
      </c>
      <c r="L221" s="35">
        <f t="shared" si="75"/>
        <v>-3.6934477458843618</v>
      </c>
      <c r="M221" s="35">
        <f t="shared" si="75"/>
        <v>-3.9335218493668442</v>
      </c>
      <c r="N221" s="35">
        <f t="shared" si="75"/>
        <v>-4.1892007695756899</v>
      </c>
      <c r="O221" s="35">
        <f t="shared" si="75"/>
        <v>-4.46149881959811</v>
      </c>
      <c r="P221" s="35">
        <f t="shared" si="75"/>
        <v>-4.7514962428719869</v>
      </c>
      <c r="Q221" s="35">
        <f t="shared" si="75"/>
        <v>-5.0603434986586651</v>
      </c>
      <c r="R221" s="35">
        <f t="shared" si="75"/>
        <v>-5.3892658260714787</v>
      </c>
      <c r="S221" s="35">
        <f t="shared" si="75"/>
        <v>-5.7395681047661249</v>
      </c>
      <c r="T221" s="35">
        <f t="shared" si="75"/>
        <v>-6.1126400315759231</v>
      </c>
      <c r="U221" s="35">
        <f t="shared" si="75"/>
        <v>-6.5099616336283583</v>
      </c>
      <c r="V221" s="35">
        <f t="shared" si="75"/>
        <v>-6.9331091398142011</v>
      </c>
      <c r="W221" s="35">
        <f t="shared" si="75"/>
        <v>0</v>
      </c>
      <c r="X221" s="35">
        <f t="shared" si="75"/>
        <v>0</v>
      </c>
      <c r="Y221" s="35">
        <f t="shared" si="75"/>
        <v>0</v>
      </c>
      <c r="Z221" s="35">
        <f t="shared" si="75"/>
        <v>0</v>
      </c>
      <c r="AA221" s="35">
        <f t="shared" si="75"/>
        <v>0</v>
      </c>
      <c r="AB221" s="35">
        <f t="shared" si="75"/>
        <v>0</v>
      </c>
      <c r="AC221" s="35">
        <f t="shared" si="75"/>
        <v>0</v>
      </c>
      <c r="AD221" s="35">
        <f t="shared" si="75"/>
        <v>0</v>
      </c>
      <c r="AE221" s="35">
        <f t="shared" si="75"/>
        <v>0</v>
      </c>
      <c r="AF221" s="35">
        <f t="shared" si="75"/>
        <v>0</v>
      </c>
    </row>
    <row r="222" spans="1:32" x14ac:dyDescent="0.2">
      <c r="A222" t="s">
        <v>148</v>
      </c>
      <c r="C222" s="11" t="s">
        <v>9</v>
      </c>
      <c r="E222" s="37">
        <f>+E175</f>
        <v>-5.6700000000000008</v>
      </c>
      <c r="F222" s="37">
        <f t="shared" ref="F222:G222" si="76">+F175</f>
        <v>-22.680000000000003</v>
      </c>
      <c r="G222" s="37">
        <f t="shared" si="76"/>
        <v>-46.397201026763355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  <c r="U222" s="35">
        <v>0</v>
      </c>
      <c r="V222" s="35">
        <v>0</v>
      </c>
      <c r="W222" s="35">
        <v>0</v>
      </c>
      <c r="X222" s="35">
        <v>0</v>
      </c>
      <c r="Y222" s="35">
        <v>0</v>
      </c>
      <c r="Z222" s="35">
        <v>0</v>
      </c>
      <c r="AA222" s="35">
        <v>0</v>
      </c>
      <c r="AB222" s="35">
        <v>0</v>
      </c>
      <c r="AC222" s="35">
        <v>0</v>
      </c>
      <c r="AD222" s="35">
        <v>0</v>
      </c>
      <c r="AE222" s="35">
        <v>0</v>
      </c>
      <c r="AF222" s="35">
        <v>0</v>
      </c>
    </row>
    <row r="223" spans="1:32" x14ac:dyDescent="0.2">
      <c r="A223" t="s">
        <v>149</v>
      </c>
      <c r="C223" s="11" t="s">
        <v>9</v>
      </c>
      <c r="E223" s="37">
        <f>SUM(E222)</f>
        <v>-5.6700000000000008</v>
      </c>
      <c r="F223" s="37">
        <f t="shared" ref="F223:G223" si="77">SUM(F222)</f>
        <v>-22.680000000000003</v>
      </c>
      <c r="G223" s="37">
        <f t="shared" si="77"/>
        <v>-46.397201026763355</v>
      </c>
      <c r="H223" s="35">
        <f>SUM(H219:H222)</f>
        <v>11.348112721104473</v>
      </c>
      <c r="I223" s="35">
        <f t="shared" ref="I223:AF223" si="78">SUM(I219:I222)</f>
        <v>45.900808034290549</v>
      </c>
      <c r="J223" s="35">
        <f t="shared" si="78"/>
        <v>11.727722093184607</v>
      </c>
      <c r="K223" s="35">
        <f t="shared" si="78"/>
        <v>10.159426883473786</v>
      </c>
      <c r="L223" s="35">
        <f t="shared" si="78"/>
        <v>10.460229335154505</v>
      </c>
      <c r="M223" s="35">
        <f t="shared" si="78"/>
        <v>9.3690365872044215</v>
      </c>
      <c r="N223" s="35">
        <f t="shared" si="78"/>
        <v>7.2834879410537834</v>
      </c>
      <c r="O223" s="35">
        <f t="shared" si="78"/>
        <v>15.545949139985272</v>
      </c>
      <c r="P223" s="35">
        <f t="shared" si="78"/>
        <v>8.9245982102073356</v>
      </c>
      <c r="Q223" s="35">
        <f t="shared" si="78"/>
        <v>9.2536298813919551</v>
      </c>
      <c r="R223" s="35">
        <f t="shared" si="78"/>
        <v>9.5882930274075875</v>
      </c>
      <c r="S223" s="35">
        <f t="shared" si="78"/>
        <v>9.9285598045233439</v>
      </c>
      <c r="T223" s="35">
        <f t="shared" si="78"/>
        <v>8.274390711925955</v>
      </c>
      <c r="U223" s="35">
        <f t="shared" si="78"/>
        <v>19.735850034678876</v>
      </c>
      <c r="V223" s="35">
        <f t="shared" si="78"/>
        <v>10.982522534171229</v>
      </c>
      <c r="W223" s="35">
        <f t="shared" si="78"/>
        <v>18.728437999022763</v>
      </c>
      <c r="X223" s="35">
        <f t="shared" si="78"/>
        <v>19.19664894899833</v>
      </c>
      <c r="Y223" s="35">
        <f t="shared" si="78"/>
        <v>19.676565172723286</v>
      </c>
      <c r="Z223" s="35">
        <f t="shared" si="78"/>
        <v>17.168479302041366</v>
      </c>
      <c r="AA223" s="35">
        <f t="shared" si="78"/>
        <v>31.663236018173169</v>
      </c>
      <c r="AB223" s="35">
        <f t="shared" si="78"/>
        <v>21.189508566707207</v>
      </c>
      <c r="AC223" s="35">
        <f t="shared" si="78"/>
        <v>21.719246280874888</v>
      </c>
      <c r="AD223" s="35">
        <f t="shared" si="78"/>
        <v>22.262227437896755</v>
      </c>
      <c r="AE223" s="35">
        <f t="shared" si="78"/>
        <v>22.81878312384417</v>
      </c>
      <c r="AF223" s="35">
        <f t="shared" si="78"/>
        <v>19.389252701940272</v>
      </c>
    </row>
    <row r="224" spans="1:32" x14ac:dyDescent="0.2">
      <c r="C224" s="11"/>
    </row>
    <row r="225" spans="1:22" x14ac:dyDescent="0.2">
      <c r="A225" t="s">
        <v>150</v>
      </c>
      <c r="C225" s="11" t="s">
        <v>16</v>
      </c>
      <c r="E225" s="74">
        <f>+IRR(E223:AF223)</f>
        <v>0.19616839903771988</v>
      </c>
    </row>
    <row r="226" spans="1:22" x14ac:dyDescent="0.2">
      <c r="A226" t="s">
        <v>151</v>
      </c>
      <c r="C226" s="11"/>
      <c r="E226" s="61">
        <f>+NPV(0.1,E223:AF223)</f>
        <v>47.87302208930646</v>
      </c>
    </row>
    <row r="227" spans="1:22" x14ac:dyDescent="0.2">
      <c r="C227" s="11"/>
    </row>
    <row r="228" spans="1:22" x14ac:dyDescent="0.2">
      <c r="A228" s="27" t="s">
        <v>152</v>
      </c>
      <c r="C228" s="11"/>
    </row>
    <row r="229" spans="1:22" x14ac:dyDescent="0.2">
      <c r="A229" t="s">
        <v>74</v>
      </c>
      <c r="C229" s="11" t="s">
        <v>9</v>
      </c>
      <c r="H229" s="40">
        <f>+H92</f>
        <v>16.368786546480603</v>
      </c>
      <c r="I229" s="40">
        <f t="shared" ref="I229:V229" si="79">+I92</f>
        <v>16.778006210142618</v>
      </c>
      <c r="J229" s="40">
        <f t="shared" si="79"/>
        <v>17.197456365396178</v>
      </c>
      <c r="K229" s="40">
        <f t="shared" si="79"/>
        <v>17.627392774531085</v>
      </c>
      <c r="L229" s="40">
        <f t="shared" si="79"/>
        <v>18.068077593894358</v>
      </c>
      <c r="M229" s="40">
        <f t="shared" si="79"/>
        <v>18.519779533741719</v>
      </c>
      <c r="N229" s="40">
        <f t="shared" si="79"/>
        <v>18.982774022085263</v>
      </c>
      <c r="O229" s="40">
        <f t="shared" si="79"/>
        <v>19.457343372637389</v>
      </c>
      <c r="P229" s="40">
        <f t="shared" si="79"/>
        <v>19.943776956953329</v>
      </c>
      <c r="Q229" s="40">
        <f t="shared" si="79"/>
        <v>20.442371380877155</v>
      </c>
      <c r="R229" s="40">
        <f t="shared" si="79"/>
        <v>20.953430665399082</v>
      </c>
      <c r="S229" s="40">
        <f t="shared" si="79"/>
        <v>21.47726643203406</v>
      </c>
      <c r="T229" s="40">
        <f t="shared" si="79"/>
        <v>22.01419809283491</v>
      </c>
      <c r="U229" s="40">
        <f t="shared" si="79"/>
        <v>22.56455304515578</v>
      </c>
      <c r="V229" s="40">
        <f t="shared" si="79"/>
        <v>23.128666871284672</v>
      </c>
    </row>
    <row r="230" spans="1:22" x14ac:dyDescent="0.2">
      <c r="A230" t="s">
        <v>153</v>
      </c>
      <c r="C230" s="11" t="s">
        <v>9</v>
      </c>
      <c r="H230" s="37">
        <f>+H214</f>
        <v>2.3630874085259936</v>
      </c>
      <c r="I230" s="37">
        <f>-I214</f>
        <v>36.506563058050055</v>
      </c>
      <c r="J230" s="37">
        <f t="shared" ref="J230:V230" si="80">+J214</f>
        <v>1.9140269616905528</v>
      </c>
      <c r="K230" s="37">
        <f t="shared" si="80"/>
        <v>-8.4204657155175208E-2</v>
      </c>
      <c r="L230" s="37">
        <f t="shared" si="80"/>
        <v>-0.22408702483772683</v>
      </c>
      <c r="M230" s="37">
        <f t="shared" si="80"/>
        <v>-1.7669817126351732</v>
      </c>
      <c r="N230" s="37">
        <f t="shared" si="80"/>
        <v>-4.3155248471293532</v>
      </c>
      <c r="O230" s="37">
        <f t="shared" si="80"/>
        <v>-3.4723670012500083</v>
      </c>
      <c r="P230" s="37">
        <f t="shared" si="80"/>
        <v>-3.6354175128438699</v>
      </c>
      <c r="Q230" s="37">
        <f t="shared" si="80"/>
        <v>-3.804980265583076</v>
      </c>
      <c r="R230" s="37">
        <f t="shared" si="80"/>
        <v>-3.9813764040893718</v>
      </c>
      <c r="S230" s="37">
        <f t="shared" si="80"/>
        <v>-4.1649453936085923</v>
      </c>
      <c r="T230" s="37">
        <f t="shared" si="80"/>
        <v>-6.3560461470068281</v>
      </c>
      <c r="U230" s="37">
        <f t="shared" si="80"/>
        <v>-4.5550582234252222</v>
      </c>
      <c r="V230" s="37">
        <f t="shared" si="80"/>
        <v>-4.7623831032113166</v>
      </c>
    </row>
    <row r="231" spans="1:22" x14ac:dyDescent="0.2">
      <c r="A231" t="s">
        <v>154</v>
      </c>
      <c r="C231" s="11" t="s">
        <v>9</v>
      </c>
      <c r="H231" s="40">
        <f>SUM(H229:H230)</f>
        <v>18.731873955006598</v>
      </c>
      <c r="I231" s="40">
        <f t="shared" ref="I231:V231" si="81">SUM(I229:I230)</f>
        <v>53.284569268192669</v>
      </c>
      <c r="J231" s="40">
        <f t="shared" si="81"/>
        <v>19.111483327086731</v>
      </c>
      <c r="K231" s="40">
        <f t="shared" si="81"/>
        <v>17.543188117375909</v>
      </c>
      <c r="L231" s="40">
        <f t="shared" si="81"/>
        <v>17.843990569056633</v>
      </c>
      <c r="M231" s="40">
        <f t="shared" si="81"/>
        <v>16.752797821106547</v>
      </c>
      <c r="N231" s="40">
        <f t="shared" si="81"/>
        <v>14.667249174955909</v>
      </c>
      <c r="O231" s="40">
        <f t="shared" si="81"/>
        <v>15.984976371387381</v>
      </c>
      <c r="P231" s="40">
        <f t="shared" si="81"/>
        <v>16.30835944410946</v>
      </c>
      <c r="Q231" s="40">
        <f t="shared" si="81"/>
        <v>16.637391115294079</v>
      </c>
      <c r="R231" s="40">
        <f t="shared" si="81"/>
        <v>16.972054261309712</v>
      </c>
      <c r="S231" s="40">
        <f t="shared" si="81"/>
        <v>17.312321038425466</v>
      </c>
      <c r="T231" s="40">
        <f t="shared" si="81"/>
        <v>15.658151945828081</v>
      </c>
      <c r="U231" s="40">
        <f t="shared" si="81"/>
        <v>18.009494821730556</v>
      </c>
      <c r="V231" s="40">
        <f t="shared" si="81"/>
        <v>18.366283768073355</v>
      </c>
    </row>
    <row r="232" spans="1:22" x14ac:dyDescent="0.2">
      <c r="A232" t="s">
        <v>155</v>
      </c>
      <c r="C232" s="11" t="s">
        <v>9</v>
      </c>
      <c r="H232" s="51">
        <f>-H157</f>
        <v>7.3837612339021241</v>
      </c>
      <c r="I232" s="51">
        <f t="shared" ref="I232:V232" si="82">-I157</f>
        <v>7.3837612339021241</v>
      </c>
      <c r="J232" s="51">
        <f t="shared" si="82"/>
        <v>7.3837612339021241</v>
      </c>
      <c r="K232" s="51">
        <f t="shared" si="82"/>
        <v>7.3837612339021241</v>
      </c>
      <c r="L232" s="51">
        <f t="shared" si="82"/>
        <v>7.3837612339021259</v>
      </c>
      <c r="M232" s="51">
        <f t="shared" si="82"/>
        <v>7.3837612339021241</v>
      </c>
      <c r="N232" s="51">
        <f t="shared" si="82"/>
        <v>7.3837612339021259</v>
      </c>
      <c r="O232" s="51">
        <f t="shared" si="82"/>
        <v>7.3837612339021259</v>
      </c>
      <c r="P232" s="51">
        <f t="shared" si="82"/>
        <v>7.383761233902125</v>
      </c>
      <c r="Q232" s="51">
        <f t="shared" si="82"/>
        <v>7.3837612339021241</v>
      </c>
      <c r="R232" s="51">
        <f t="shared" si="82"/>
        <v>7.3837612339021241</v>
      </c>
      <c r="S232" s="51">
        <f t="shared" si="82"/>
        <v>7.383761233902125</v>
      </c>
      <c r="T232" s="51">
        <f t="shared" si="82"/>
        <v>7.383761233902125</v>
      </c>
      <c r="U232" s="51">
        <f t="shared" si="82"/>
        <v>7.383761233902125</v>
      </c>
      <c r="V232" s="51">
        <f t="shared" si="82"/>
        <v>7.3837612339021241</v>
      </c>
    </row>
    <row r="233" spans="1:22" x14ac:dyDescent="0.2">
      <c r="C233" s="11"/>
    </row>
    <row r="234" spans="1:22" x14ac:dyDescent="0.2">
      <c r="A234" t="s">
        <v>152</v>
      </c>
      <c r="C234" s="11" t="s">
        <v>118</v>
      </c>
      <c r="H234" s="54">
        <f>+H231/H232</f>
        <v>2.5369013652554546</v>
      </c>
      <c r="I234" s="54">
        <f t="shared" ref="I234:V234" si="83">+I231/I232</f>
        <v>7.2164534551225152</v>
      </c>
      <c r="J234" s="54">
        <f t="shared" si="83"/>
        <v>2.5883127476193883</v>
      </c>
      <c r="K234" s="54">
        <f t="shared" si="83"/>
        <v>2.375914870706727</v>
      </c>
      <c r="L234" s="54">
        <f t="shared" si="83"/>
        <v>2.4166532480935259</v>
      </c>
      <c r="M234" s="54">
        <f t="shared" si="83"/>
        <v>2.2688704699966489</v>
      </c>
      <c r="N234" s="54">
        <f t="shared" si="83"/>
        <v>1.9864197541507784</v>
      </c>
      <c r="O234" s="54">
        <f t="shared" si="83"/>
        <v>2.1648826207967367</v>
      </c>
      <c r="P234" s="54">
        <f t="shared" si="83"/>
        <v>2.2086791443404947</v>
      </c>
      <c r="Q234" s="54">
        <f t="shared" si="83"/>
        <v>2.2532406707443942</v>
      </c>
      <c r="R234" s="54">
        <f t="shared" si="83"/>
        <v>2.2985648809150923</v>
      </c>
      <c r="S234" s="54">
        <f t="shared" si="83"/>
        <v>2.344648003911193</v>
      </c>
      <c r="T234" s="54">
        <f t="shared" si="83"/>
        <v>2.1206200268143225</v>
      </c>
      <c r="U234" s="54">
        <f t="shared" si="83"/>
        <v>2.4390678749254473</v>
      </c>
      <c r="V234" s="54">
        <f t="shared" si="83"/>
        <v>2.4873886338233144</v>
      </c>
    </row>
    <row r="236" spans="1:22" x14ac:dyDescent="0.2">
      <c r="B236" s="11" t="s">
        <v>119</v>
      </c>
      <c r="C236" s="11" t="s">
        <v>120</v>
      </c>
    </row>
    <row r="237" spans="1:22" x14ac:dyDescent="0.2">
      <c r="B237" s="55">
        <f>+MIN(H234:V234)</f>
        <v>1.9864197541507784</v>
      </c>
      <c r="C237" s="55">
        <f>+AVERAGE(H234:V234)</f>
        <v>2.6471078511477355</v>
      </c>
    </row>
    <row r="239" spans="1:22" x14ac:dyDescent="0.2">
      <c r="A239" s="27" t="s">
        <v>156</v>
      </c>
    </row>
    <row r="241" spans="1:32" x14ac:dyDescent="0.2">
      <c r="A241" t="s">
        <v>157</v>
      </c>
      <c r="C241" t="s">
        <v>158</v>
      </c>
      <c r="H241" s="62">
        <f t="shared" ref="H241:AF241" si="84">+H87*$E$22/2000/1000000</f>
        <v>0</v>
      </c>
      <c r="I241" s="62">
        <f t="shared" si="84"/>
        <v>0</v>
      </c>
      <c r="J241" s="62">
        <f t="shared" si="84"/>
        <v>0</v>
      </c>
      <c r="K241" s="62">
        <f t="shared" si="84"/>
        <v>0</v>
      </c>
      <c r="L241" s="62">
        <f t="shared" si="84"/>
        <v>0</v>
      </c>
      <c r="M241" s="62">
        <f t="shared" si="84"/>
        <v>0</v>
      </c>
      <c r="N241" s="62">
        <f t="shared" si="84"/>
        <v>0</v>
      </c>
      <c r="O241" s="62">
        <f t="shared" si="84"/>
        <v>0</v>
      </c>
      <c r="P241" s="62">
        <f t="shared" si="84"/>
        <v>0</v>
      </c>
      <c r="Q241" s="62">
        <f t="shared" si="84"/>
        <v>0</v>
      </c>
      <c r="R241" s="62">
        <f t="shared" si="84"/>
        <v>0</v>
      </c>
      <c r="S241" s="62">
        <f t="shared" si="84"/>
        <v>0</v>
      </c>
      <c r="T241" s="62">
        <f t="shared" si="84"/>
        <v>0</v>
      </c>
      <c r="U241" s="62">
        <f t="shared" si="84"/>
        <v>0</v>
      </c>
      <c r="V241" s="62">
        <f t="shared" si="84"/>
        <v>0</v>
      </c>
      <c r="W241" s="62">
        <f t="shared" si="84"/>
        <v>0</v>
      </c>
      <c r="X241" s="62">
        <f t="shared" si="84"/>
        <v>0</v>
      </c>
      <c r="Y241" s="62">
        <f t="shared" si="84"/>
        <v>0</v>
      </c>
      <c r="Z241" s="62">
        <f t="shared" si="84"/>
        <v>0</v>
      </c>
      <c r="AA241" s="62">
        <f t="shared" si="84"/>
        <v>0</v>
      </c>
      <c r="AB241" s="62">
        <f t="shared" si="84"/>
        <v>0</v>
      </c>
      <c r="AC241" s="62">
        <f t="shared" si="84"/>
        <v>0</v>
      </c>
      <c r="AD241" s="62">
        <f t="shared" si="84"/>
        <v>0</v>
      </c>
      <c r="AE241" s="62">
        <f t="shared" si="84"/>
        <v>0</v>
      </c>
      <c r="AF241" s="62">
        <f t="shared" si="84"/>
        <v>0</v>
      </c>
    </row>
    <row r="242" spans="1:32" x14ac:dyDescent="0.2">
      <c r="A242" t="s">
        <v>159</v>
      </c>
      <c r="C242" t="s">
        <v>158</v>
      </c>
      <c r="E242" s="54">
        <f>+SUM(H241:AF241)</f>
        <v>0</v>
      </c>
    </row>
    <row r="243" spans="1:32" x14ac:dyDescent="0.2">
      <c r="A243" t="s">
        <v>160</v>
      </c>
      <c r="C243" t="s">
        <v>34</v>
      </c>
      <c r="H243" s="35">
        <f>+$E$23</f>
        <v>0</v>
      </c>
      <c r="I243" s="35">
        <f t="shared" ref="I243:AF243" si="85">+$E$23</f>
        <v>0</v>
      </c>
      <c r="J243" s="35">
        <f t="shared" si="85"/>
        <v>0</v>
      </c>
      <c r="K243" s="35">
        <f t="shared" si="85"/>
        <v>0</v>
      </c>
      <c r="L243" s="35">
        <f t="shared" si="85"/>
        <v>0</v>
      </c>
      <c r="M243" s="35">
        <f t="shared" si="85"/>
        <v>0</v>
      </c>
      <c r="N243" s="35">
        <f t="shared" si="85"/>
        <v>0</v>
      </c>
      <c r="O243" s="35">
        <f t="shared" si="85"/>
        <v>0</v>
      </c>
      <c r="P243" s="35">
        <f t="shared" si="85"/>
        <v>0</v>
      </c>
      <c r="Q243" s="35">
        <f t="shared" si="85"/>
        <v>0</v>
      </c>
      <c r="R243" s="35">
        <f t="shared" si="85"/>
        <v>0</v>
      </c>
      <c r="S243" s="35">
        <f t="shared" si="85"/>
        <v>0</v>
      </c>
      <c r="T243" s="35">
        <f t="shared" si="85"/>
        <v>0</v>
      </c>
      <c r="U243" s="35">
        <f t="shared" si="85"/>
        <v>0</v>
      </c>
      <c r="V243" s="35">
        <f t="shared" si="85"/>
        <v>0</v>
      </c>
      <c r="W243" s="35">
        <f t="shared" si="85"/>
        <v>0</v>
      </c>
      <c r="X243" s="35">
        <f t="shared" si="85"/>
        <v>0</v>
      </c>
      <c r="Y243" s="35">
        <f t="shared" si="85"/>
        <v>0</v>
      </c>
      <c r="Z243" s="35">
        <f t="shared" si="85"/>
        <v>0</v>
      </c>
      <c r="AA243" s="35">
        <f t="shared" si="85"/>
        <v>0</v>
      </c>
      <c r="AB243" s="35">
        <f t="shared" si="85"/>
        <v>0</v>
      </c>
      <c r="AC243" s="35">
        <f t="shared" si="85"/>
        <v>0</v>
      </c>
      <c r="AD243" s="35">
        <f t="shared" si="85"/>
        <v>0</v>
      </c>
      <c r="AE243" s="35">
        <f t="shared" si="85"/>
        <v>0</v>
      </c>
      <c r="AF243" s="35">
        <f t="shared" si="85"/>
        <v>0</v>
      </c>
    </row>
    <row r="244" spans="1:32" x14ac:dyDescent="0.2">
      <c r="A244" t="s">
        <v>161</v>
      </c>
      <c r="C244" t="s">
        <v>9</v>
      </c>
      <c r="H244" s="35">
        <f>+H241*H243</f>
        <v>0</v>
      </c>
      <c r="I244" s="35">
        <f t="shared" ref="I244:AF244" si="86">+I241*I243</f>
        <v>0</v>
      </c>
      <c r="J244" s="35">
        <f t="shared" si="86"/>
        <v>0</v>
      </c>
      <c r="K244" s="35">
        <f t="shared" si="86"/>
        <v>0</v>
      </c>
      <c r="L244" s="35">
        <f t="shared" si="86"/>
        <v>0</v>
      </c>
      <c r="M244" s="35">
        <f t="shared" si="86"/>
        <v>0</v>
      </c>
      <c r="N244" s="35">
        <f t="shared" si="86"/>
        <v>0</v>
      </c>
      <c r="O244" s="35">
        <f t="shared" si="86"/>
        <v>0</v>
      </c>
      <c r="P244" s="35">
        <f t="shared" si="86"/>
        <v>0</v>
      </c>
      <c r="Q244" s="35">
        <f t="shared" si="86"/>
        <v>0</v>
      </c>
      <c r="R244" s="35">
        <f t="shared" si="86"/>
        <v>0</v>
      </c>
      <c r="S244" s="35">
        <f t="shared" si="86"/>
        <v>0</v>
      </c>
      <c r="T244" s="35">
        <f t="shared" si="86"/>
        <v>0</v>
      </c>
      <c r="U244" s="35">
        <f t="shared" si="86"/>
        <v>0</v>
      </c>
      <c r="V244" s="35">
        <f t="shared" si="86"/>
        <v>0</v>
      </c>
      <c r="W244" s="35">
        <f t="shared" si="86"/>
        <v>0</v>
      </c>
      <c r="X244" s="35">
        <f t="shared" si="86"/>
        <v>0</v>
      </c>
      <c r="Y244" s="35">
        <f t="shared" si="86"/>
        <v>0</v>
      </c>
      <c r="Z244" s="35">
        <f t="shared" si="86"/>
        <v>0</v>
      </c>
      <c r="AA244" s="35">
        <f t="shared" si="86"/>
        <v>0</v>
      </c>
      <c r="AB244" s="35">
        <f t="shared" si="86"/>
        <v>0</v>
      </c>
      <c r="AC244" s="35">
        <f t="shared" si="86"/>
        <v>0</v>
      </c>
      <c r="AD244" s="35">
        <f t="shared" si="86"/>
        <v>0</v>
      </c>
      <c r="AE244" s="35">
        <f t="shared" si="86"/>
        <v>0</v>
      </c>
      <c r="AF244" s="35">
        <f t="shared" si="86"/>
        <v>0</v>
      </c>
    </row>
    <row r="245" spans="1:32" x14ac:dyDescent="0.2">
      <c r="A245" t="s">
        <v>162</v>
      </c>
      <c r="C245" t="s">
        <v>9</v>
      </c>
      <c r="E245" s="37">
        <f>+E223</f>
        <v>-5.6700000000000008</v>
      </c>
      <c r="F245" s="37">
        <f>+F223</f>
        <v>-22.680000000000003</v>
      </c>
      <c r="G245" s="37">
        <f>+G223</f>
        <v>-46.397201026763355</v>
      </c>
      <c r="H245" s="63">
        <f t="shared" ref="H245:AF245" si="87">+H223-H244</f>
        <v>11.348112721104473</v>
      </c>
      <c r="I245" s="63">
        <f t="shared" si="87"/>
        <v>45.900808034290549</v>
      </c>
      <c r="J245" s="63">
        <f t="shared" si="87"/>
        <v>11.727722093184607</v>
      </c>
      <c r="K245" s="63">
        <f t="shared" si="87"/>
        <v>10.159426883473786</v>
      </c>
      <c r="L245" s="63">
        <f t="shared" si="87"/>
        <v>10.460229335154505</v>
      </c>
      <c r="M245" s="63">
        <f t="shared" si="87"/>
        <v>9.3690365872044215</v>
      </c>
      <c r="N245" s="63">
        <f t="shared" si="87"/>
        <v>7.2834879410537834</v>
      </c>
      <c r="O245" s="63">
        <f t="shared" si="87"/>
        <v>15.545949139985272</v>
      </c>
      <c r="P245" s="63">
        <f t="shared" si="87"/>
        <v>8.9245982102073356</v>
      </c>
      <c r="Q245" s="63">
        <f t="shared" si="87"/>
        <v>9.2536298813919551</v>
      </c>
      <c r="R245" s="63">
        <f t="shared" si="87"/>
        <v>9.5882930274075875</v>
      </c>
      <c r="S245" s="63">
        <f t="shared" si="87"/>
        <v>9.9285598045233439</v>
      </c>
      <c r="T245" s="63">
        <f t="shared" si="87"/>
        <v>8.274390711925955</v>
      </c>
      <c r="U245" s="63">
        <f t="shared" si="87"/>
        <v>19.735850034678876</v>
      </c>
      <c r="V245" s="63">
        <f t="shared" si="87"/>
        <v>10.982522534171229</v>
      </c>
      <c r="W245" s="63">
        <f t="shared" si="87"/>
        <v>18.728437999022763</v>
      </c>
      <c r="X245" s="63">
        <f t="shared" si="87"/>
        <v>19.19664894899833</v>
      </c>
      <c r="Y245" s="63">
        <f t="shared" si="87"/>
        <v>19.676565172723286</v>
      </c>
      <c r="Z245" s="63">
        <f t="shared" si="87"/>
        <v>17.168479302041366</v>
      </c>
      <c r="AA245" s="63">
        <f t="shared" si="87"/>
        <v>31.663236018173169</v>
      </c>
      <c r="AB245" s="63">
        <f t="shared" si="87"/>
        <v>21.189508566707207</v>
      </c>
      <c r="AC245" s="63">
        <f t="shared" si="87"/>
        <v>21.719246280874888</v>
      </c>
      <c r="AD245" s="63">
        <f t="shared" si="87"/>
        <v>22.262227437896755</v>
      </c>
      <c r="AE245" s="63">
        <f t="shared" si="87"/>
        <v>22.81878312384417</v>
      </c>
      <c r="AF245" s="63">
        <f t="shared" si="87"/>
        <v>19.389252701940272</v>
      </c>
    </row>
    <row r="247" spans="1:32" x14ac:dyDescent="0.2">
      <c r="A247" t="s">
        <v>163</v>
      </c>
      <c r="C247" t="s">
        <v>16</v>
      </c>
      <c r="E247" s="73">
        <f>+IRR(E245:AF245)</f>
        <v>0.19616839903771988</v>
      </c>
    </row>
    <row r="248" spans="1:32" x14ac:dyDescent="0.2">
      <c r="A248" t="s">
        <v>164</v>
      </c>
      <c r="C248" t="s">
        <v>9</v>
      </c>
      <c r="E248" s="51">
        <f>+NPV(0.1,E245:AF245)</f>
        <v>47.87302208930646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09A6-5465-43A9-A298-B2427F9753CE}">
  <dimension ref="A1:AG248"/>
  <sheetViews>
    <sheetView topLeftCell="A139" zoomScale="85" workbookViewId="0">
      <pane xSplit="1" topLeftCell="B1" activePane="topRight" state="frozen"/>
      <selection pane="topRight" activeCell="Q169" sqref="Q169"/>
    </sheetView>
  </sheetViews>
  <sheetFormatPr baseColWidth="10" defaultColWidth="8.83203125" defaultRowHeight="15" x14ac:dyDescent="0.2"/>
  <cols>
    <col min="1" max="1" width="33.5" customWidth="1"/>
    <col min="5" max="5" width="9.83203125" customWidth="1"/>
    <col min="6" max="7" width="11.1640625" customWidth="1"/>
    <col min="8" max="8" width="14.1640625" bestFit="1" customWidth="1"/>
    <col min="9" max="32" width="13.1640625" bestFit="1" customWidth="1"/>
  </cols>
  <sheetData>
    <row r="1" spans="1:8" x14ac:dyDescent="0.2">
      <c r="A1" s="1" t="s">
        <v>165</v>
      </c>
      <c r="F1" s="2" t="s">
        <v>21</v>
      </c>
      <c r="G1" s="2"/>
    </row>
    <row r="3" spans="1:8" x14ac:dyDescent="0.2">
      <c r="A3" s="3" t="s">
        <v>0</v>
      </c>
      <c r="B3" s="4"/>
      <c r="C3" s="5" t="s">
        <v>227</v>
      </c>
      <c r="D3" s="4"/>
      <c r="E3" s="4"/>
      <c r="F3" s="4"/>
      <c r="G3" s="4"/>
    </row>
    <row r="4" spans="1:8" x14ac:dyDescent="0.2">
      <c r="A4" s="4"/>
      <c r="B4" s="4"/>
      <c r="C4" s="4"/>
      <c r="D4" s="4"/>
      <c r="E4" s="4"/>
      <c r="F4" s="4"/>
      <c r="G4" s="4"/>
    </row>
    <row r="5" spans="1:8" x14ac:dyDescent="0.2">
      <c r="A5" s="4" t="s">
        <v>1</v>
      </c>
      <c r="B5" s="4"/>
      <c r="C5" s="6" t="str">
        <f>+'[1]Base Data'!D5</f>
        <v>MW</v>
      </c>
      <c r="D5" s="4"/>
      <c r="E5" s="6">
        <f>VLOOKUP('Schedule LD'!A5,Table1[#All],8,FALSE)</f>
        <v>80</v>
      </c>
      <c r="F5" s="4"/>
      <c r="G5" s="4"/>
    </row>
    <row r="6" spans="1:8" x14ac:dyDescent="0.2">
      <c r="A6" s="4" t="s">
        <v>187</v>
      </c>
      <c r="B6" s="4"/>
      <c r="C6" s="6" t="str">
        <f>+'[1]Base Data'!D15</f>
        <v>%</v>
      </c>
      <c r="D6" s="4"/>
      <c r="E6" s="6">
        <f>VLOOKUP('Schedule LD'!A6,Table1[#All],8,FALSE)</f>
        <v>0.4</v>
      </c>
      <c r="F6" s="4"/>
      <c r="G6" s="4"/>
    </row>
    <row r="7" spans="1:8" x14ac:dyDescent="0.2">
      <c r="A7" s="4" t="s">
        <v>2</v>
      </c>
      <c r="B7" s="4"/>
      <c r="C7" s="6" t="s">
        <v>3</v>
      </c>
      <c r="D7" s="4"/>
      <c r="E7" s="6">
        <f>+E5*8760*E6</f>
        <v>280320</v>
      </c>
      <c r="F7" s="4"/>
      <c r="G7" s="4"/>
      <c r="H7" s="78"/>
    </row>
    <row r="8" spans="1:8" x14ac:dyDescent="0.2">
      <c r="A8" s="4" t="s">
        <v>182</v>
      </c>
      <c r="B8" s="4"/>
      <c r="C8" s="6" t="s">
        <v>5</v>
      </c>
      <c r="D8" s="4"/>
      <c r="E8" s="6">
        <f>VLOOKUP('Schedule LD'!A8,Table1[#All],8,FALSE)</f>
        <v>0</v>
      </c>
      <c r="F8" s="4"/>
      <c r="G8" s="4"/>
    </row>
    <row r="9" spans="1:8" x14ac:dyDescent="0.2">
      <c r="A9" s="4" t="s">
        <v>66</v>
      </c>
      <c r="B9" s="4"/>
      <c r="C9" s="6" t="s">
        <v>6</v>
      </c>
      <c r="D9" s="4"/>
      <c r="E9" s="6">
        <f>VLOOKUP('Schedule LD'!A9,Table1[#All],8,FALSE)</f>
        <v>42</v>
      </c>
      <c r="F9" s="4"/>
      <c r="G9" s="4"/>
    </row>
    <row r="10" spans="1:8" x14ac:dyDescent="0.2">
      <c r="A10" s="4" t="s">
        <v>68</v>
      </c>
      <c r="B10" s="4"/>
      <c r="C10" s="6" t="s">
        <v>7</v>
      </c>
      <c r="D10" s="4"/>
      <c r="E10" s="6">
        <f>VLOOKUP('Schedule LD'!A10,Table1[#All],8,FALSE)</f>
        <v>0</v>
      </c>
      <c r="F10" s="4"/>
      <c r="G10" s="4"/>
    </row>
    <row r="11" spans="1:8" x14ac:dyDescent="0.2">
      <c r="A11" s="4" t="s">
        <v>181</v>
      </c>
      <c r="B11" s="4"/>
      <c r="C11" s="6" t="str">
        <f>+'[1]Base Data'!D6</f>
        <v>$/kw</v>
      </c>
      <c r="D11" s="4"/>
      <c r="E11" s="6">
        <f>VLOOKUP('Schedule LD'!A11,Table1[#All],8,FALSE)</f>
        <v>1500</v>
      </c>
      <c r="F11" s="4"/>
      <c r="G11" s="4"/>
    </row>
    <row r="12" spans="1:8" x14ac:dyDescent="0.2">
      <c r="A12" s="4" t="s">
        <v>8</v>
      </c>
      <c r="B12" s="4"/>
      <c r="C12" s="6" t="s">
        <v>9</v>
      </c>
      <c r="D12" s="4"/>
      <c r="E12" s="6">
        <f>+E5*E11*1000/1000000</f>
        <v>120</v>
      </c>
      <c r="F12" s="4"/>
      <c r="G12" s="4"/>
    </row>
    <row r="13" spans="1:8" x14ac:dyDescent="0.2">
      <c r="A13" s="4" t="s">
        <v>41</v>
      </c>
      <c r="B13" s="4"/>
      <c r="C13" s="6" t="s">
        <v>10</v>
      </c>
      <c r="D13" s="4"/>
      <c r="E13" s="6">
        <f>VLOOKUP('Schedule LD'!A13,Table1[#All],8,FALSE)</f>
        <v>3</v>
      </c>
      <c r="F13" s="4"/>
      <c r="G13" s="4"/>
    </row>
    <row r="14" spans="1:8" x14ac:dyDescent="0.2">
      <c r="A14" s="4" t="s">
        <v>11</v>
      </c>
      <c r="B14" s="4"/>
      <c r="C14" s="6" t="s">
        <v>12</v>
      </c>
      <c r="D14" s="4"/>
      <c r="E14" s="6" t="s">
        <v>226</v>
      </c>
      <c r="F14" s="6" t="s">
        <v>14</v>
      </c>
      <c r="G14" s="6" t="s">
        <v>15</v>
      </c>
    </row>
    <row r="15" spans="1:8" x14ac:dyDescent="0.2">
      <c r="A15" s="4" t="s">
        <v>11</v>
      </c>
      <c r="B15" s="4"/>
      <c r="C15" s="6" t="s">
        <v>16</v>
      </c>
      <c r="D15" s="4"/>
      <c r="E15" s="8">
        <v>0.1</v>
      </c>
      <c r="F15" s="8">
        <v>0.4</v>
      </c>
      <c r="G15" s="8">
        <v>0.5</v>
      </c>
    </row>
    <row r="16" spans="1:8" x14ac:dyDescent="0.2">
      <c r="A16" s="4" t="s">
        <v>11</v>
      </c>
      <c r="B16" s="4"/>
      <c r="C16" s="6" t="s">
        <v>9</v>
      </c>
      <c r="D16" s="4"/>
      <c r="E16" s="6">
        <f>+E12*E15</f>
        <v>12</v>
      </c>
      <c r="F16" s="6">
        <f>+E12*F15</f>
        <v>48</v>
      </c>
      <c r="G16" s="6">
        <f>+E12*G15</f>
        <v>60</v>
      </c>
    </row>
    <row r="17" spans="1:23" x14ac:dyDescent="0.2">
      <c r="A17" s="4" t="s">
        <v>191</v>
      </c>
      <c r="B17" s="4"/>
      <c r="C17" s="6" t="s">
        <v>16</v>
      </c>
      <c r="D17" s="4"/>
      <c r="E17" s="6">
        <f>VLOOKUP('Schedule LD'!A17,Table1[#All],8,FALSE)</f>
        <v>2.5000000000000001E-2</v>
      </c>
      <c r="F17" s="4"/>
      <c r="G17" s="4"/>
    </row>
    <row r="18" spans="1:23" x14ac:dyDescent="0.2">
      <c r="A18" s="4" t="s">
        <v>17</v>
      </c>
      <c r="B18" s="4"/>
      <c r="C18" s="6" t="s">
        <v>18</v>
      </c>
      <c r="D18" s="4"/>
      <c r="E18" s="6">
        <f>VLOOKUP('Schedule LD'!A18,Table1[#All],8,FALSE)</f>
        <v>25</v>
      </c>
      <c r="F18" s="4"/>
      <c r="G18" s="4"/>
      <c r="H18" s="11"/>
    </row>
    <row r="19" spans="1:23" x14ac:dyDescent="0.2">
      <c r="A19" s="4" t="s">
        <v>19</v>
      </c>
      <c r="B19" s="4"/>
      <c r="C19" s="6" t="s">
        <v>20</v>
      </c>
      <c r="D19" s="4"/>
      <c r="E19" s="6">
        <f>VLOOKUP('Schedule LD'!A19,Table1[#All],8,FALSE)</f>
        <v>0.21</v>
      </c>
      <c r="F19" s="10" t="s">
        <v>21</v>
      </c>
      <c r="G19" s="4"/>
      <c r="H19" s="12"/>
    </row>
    <row r="20" spans="1:23" x14ac:dyDescent="0.2">
      <c r="A20" s="4" t="s">
        <v>22</v>
      </c>
      <c r="B20" s="4"/>
      <c r="C20" s="6" t="s">
        <v>23</v>
      </c>
      <c r="D20" s="4"/>
      <c r="E20" s="6">
        <f>VLOOKUP('Schedule LD'!A20,Table1[#All],8,FALSE)</f>
        <v>5</v>
      </c>
      <c r="F20" s="10"/>
      <c r="G20" s="4"/>
      <c r="H20" s="10" t="s">
        <v>24</v>
      </c>
      <c r="I20" s="10" t="s">
        <v>25</v>
      </c>
      <c r="J20" s="10" t="s">
        <v>26</v>
      </c>
      <c r="K20" s="10" t="s">
        <v>27</v>
      </c>
      <c r="L20" s="10" t="s">
        <v>28</v>
      </c>
      <c r="M20" s="10" t="s">
        <v>29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x14ac:dyDescent="0.2">
      <c r="A21" s="4" t="s">
        <v>30</v>
      </c>
      <c r="B21" s="4"/>
      <c r="C21" s="6" t="s">
        <v>16</v>
      </c>
      <c r="D21" s="4"/>
      <c r="E21" s="6"/>
      <c r="F21" s="4"/>
      <c r="G21" s="4"/>
      <c r="H21" s="72">
        <v>0.2</v>
      </c>
      <c r="I21" s="72">
        <v>0.32</v>
      </c>
      <c r="J21" s="72">
        <v>0.192</v>
      </c>
      <c r="K21" s="72">
        <v>0.1152</v>
      </c>
      <c r="L21" s="72">
        <v>0.1152</v>
      </c>
      <c r="M21" s="72">
        <v>5.7599999999999998E-2</v>
      </c>
      <c r="N21" s="14"/>
      <c r="O21" s="14"/>
      <c r="P21" s="14"/>
      <c r="Q21" s="14"/>
      <c r="R21" s="14"/>
      <c r="S21" s="14"/>
      <c r="T21" s="14"/>
      <c r="U21" s="14"/>
      <c r="V21" s="14"/>
      <c r="W21" s="15"/>
    </row>
    <row r="22" spans="1:23" x14ac:dyDescent="0.2">
      <c r="A22" s="4" t="s">
        <v>31</v>
      </c>
      <c r="B22" s="4"/>
      <c r="C22" s="6" t="s">
        <v>32</v>
      </c>
      <c r="D22" s="4"/>
      <c r="E22" s="6">
        <v>0</v>
      </c>
      <c r="F22" s="4"/>
      <c r="G22" s="4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7"/>
    </row>
    <row r="23" spans="1:23" x14ac:dyDescent="0.2">
      <c r="A23" s="4" t="s">
        <v>33</v>
      </c>
      <c r="B23" s="4"/>
      <c r="C23" s="6" t="s">
        <v>34</v>
      </c>
      <c r="D23" s="4"/>
      <c r="E23" s="6">
        <v>0</v>
      </c>
      <c r="F23" s="4"/>
      <c r="G23" s="4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7"/>
    </row>
    <row r="24" spans="1:23" x14ac:dyDescent="0.2">
      <c r="A24" s="4"/>
      <c r="B24" s="4"/>
      <c r="C24" s="6"/>
      <c r="D24" s="4"/>
      <c r="E24" s="13"/>
      <c r="F24" s="4"/>
      <c r="G24" s="4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7"/>
    </row>
    <row r="25" spans="1:23" x14ac:dyDescent="0.2">
      <c r="A25" s="4" t="s">
        <v>35</v>
      </c>
      <c r="B25" s="4"/>
      <c r="C25" s="6"/>
      <c r="D25" s="4"/>
      <c r="E25" s="13"/>
      <c r="F25" s="4"/>
      <c r="G25" s="4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7"/>
    </row>
    <row r="26" spans="1:23" x14ac:dyDescent="0.2">
      <c r="C26" s="11"/>
      <c r="E26" s="1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7"/>
    </row>
    <row r="28" spans="1:23" x14ac:dyDescent="0.2">
      <c r="A28" s="1" t="s">
        <v>36</v>
      </c>
    </row>
    <row r="29" spans="1:23" ht="16" thickBot="1" x14ac:dyDescent="0.25"/>
    <row r="30" spans="1:23" ht="16" thickBot="1" x14ac:dyDescent="0.25">
      <c r="A30" t="s">
        <v>36</v>
      </c>
      <c r="C30" s="11" t="s">
        <v>37</v>
      </c>
      <c r="E30" s="19">
        <v>0.05</v>
      </c>
    </row>
    <row r="31" spans="1:23" x14ac:dyDescent="0.2">
      <c r="A31" t="s">
        <v>36</v>
      </c>
      <c r="C31" s="11" t="s">
        <v>9</v>
      </c>
      <c r="E31" s="20">
        <f>+E30*E12</f>
        <v>6</v>
      </c>
    </row>
    <row r="32" spans="1:23" x14ac:dyDescent="0.2">
      <c r="A32" t="s">
        <v>38</v>
      </c>
      <c r="C32" s="11"/>
      <c r="E32" s="21">
        <f>+E12+E31</f>
        <v>126</v>
      </c>
    </row>
    <row r="33" spans="1:7" x14ac:dyDescent="0.2">
      <c r="A33" t="s">
        <v>39</v>
      </c>
      <c r="C33" s="11" t="s">
        <v>12</v>
      </c>
      <c r="E33" s="11" t="s">
        <v>13</v>
      </c>
      <c r="F33" s="11" t="s">
        <v>14</v>
      </c>
      <c r="G33" s="11" t="s">
        <v>15</v>
      </c>
    </row>
    <row r="34" spans="1:7" x14ac:dyDescent="0.2">
      <c r="A34" t="s">
        <v>39</v>
      </c>
      <c r="C34" s="11" t="s">
        <v>16</v>
      </c>
      <c r="E34" s="22">
        <v>0.1</v>
      </c>
      <c r="F34" s="22">
        <v>0.4</v>
      </c>
      <c r="G34" s="22">
        <v>0.5</v>
      </c>
    </row>
    <row r="35" spans="1:7" x14ac:dyDescent="0.2">
      <c r="A35" t="s">
        <v>39</v>
      </c>
      <c r="C35" s="11" t="s">
        <v>9</v>
      </c>
      <c r="E35" s="23">
        <f>+E34*$E$32</f>
        <v>12.600000000000001</v>
      </c>
      <c r="F35" s="23">
        <f t="shared" ref="F35:G35" si="0">+F34*$E$32</f>
        <v>50.400000000000006</v>
      </c>
      <c r="G35" s="23">
        <f t="shared" si="0"/>
        <v>63</v>
      </c>
    </row>
    <row r="36" spans="1:7" x14ac:dyDescent="0.2">
      <c r="C36" s="11"/>
      <c r="E36" s="24"/>
      <c r="F36" s="24"/>
      <c r="G36" s="24"/>
    </row>
    <row r="37" spans="1:7" x14ac:dyDescent="0.2">
      <c r="A37" t="s">
        <v>40</v>
      </c>
      <c r="C37" s="11"/>
      <c r="E37" s="24"/>
      <c r="F37" s="24"/>
      <c r="G37" s="24"/>
    </row>
    <row r="38" spans="1:7" x14ac:dyDescent="0.2">
      <c r="C38" s="11"/>
      <c r="E38" s="24"/>
      <c r="F38" s="24"/>
      <c r="G38" s="24"/>
    </row>
    <row r="40" spans="1:7" x14ac:dyDescent="0.2">
      <c r="A40" s="3" t="s">
        <v>166</v>
      </c>
      <c r="B40" s="4"/>
      <c r="C40" s="4"/>
      <c r="D40" s="4"/>
      <c r="E40" s="4"/>
    </row>
    <row r="41" spans="1:7" x14ac:dyDescent="0.2">
      <c r="A41" s="4"/>
      <c r="B41" s="4"/>
      <c r="C41" s="4"/>
      <c r="D41" s="4"/>
      <c r="E41" s="4"/>
    </row>
    <row r="42" spans="1:7" x14ac:dyDescent="0.2">
      <c r="A42" s="4" t="s">
        <v>41</v>
      </c>
      <c r="B42" s="4"/>
      <c r="C42" s="6" t="s">
        <v>10</v>
      </c>
      <c r="D42" s="4"/>
      <c r="E42" s="7">
        <v>3</v>
      </c>
    </row>
    <row r="43" spans="1:7" x14ac:dyDescent="0.2">
      <c r="A43" s="4" t="s">
        <v>42</v>
      </c>
      <c r="B43" s="4"/>
      <c r="C43" s="6" t="s">
        <v>16</v>
      </c>
      <c r="D43" s="4"/>
      <c r="E43" s="8">
        <v>0.05</v>
      </c>
    </row>
    <row r="44" spans="1:7" x14ac:dyDescent="0.2">
      <c r="A44" s="4" t="s">
        <v>43</v>
      </c>
      <c r="B44" s="4"/>
      <c r="C44" s="6" t="s">
        <v>16</v>
      </c>
      <c r="D44" s="4"/>
      <c r="E44" s="8">
        <v>0.5</v>
      </c>
    </row>
    <row r="45" spans="1:7" x14ac:dyDescent="0.2">
      <c r="A45" s="4"/>
      <c r="B45" s="4"/>
      <c r="C45" s="6"/>
      <c r="D45" s="4"/>
      <c r="E45" s="4"/>
    </row>
    <row r="46" spans="1:7" x14ac:dyDescent="0.2">
      <c r="A46" s="4" t="s">
        <v>44</v>
      </c>
      <c r="B46" s="4"/>
      <c r="C46" s="6" t="s">
        <v>10</v>
      </c>
      <c r="D46" s="4"/>
      <c r="E46" s="7">
        <v>15</v>
      </c>
    </row>
    <row r="47" spans="1:7" x14ac:dyDescent="0.2">
      <c r="A47" s="4" t="s">
        <v>45</v>
      </c>
      <c r="B47" s="4"/>
      <c r="C47" s="6" t="s">
        <v>16</v>
      </c>
      <c r="D47" s="4"/>
      <c r="E47" s="10">
        <v>6.5000000000000002E-2</v>
      </c>
    </row>
    <row r="48" spans="1:7" x14ac:dyDescent="0.2">
      <c r="A48" s="4" t="s">
        <v>46</v>
      </c>
      <c r="B48" s="4"/>
      <c r="C48" s="6" t="s">
        <v>16</v>
      </c>
      <c r="D48" s="4"/>
      <c r="E48" s="8">
        <v>0.59555420651468194</v>
      </c>
    </row>
    <row r="49" spans="1:7" x14ac:dyDescent="0.2">
      <c r="A49" s="4"/>
      <c r="B49" s="4"/>
      <c r="C49" s="4"/>
      <c r="D49" s="4"/>
      <c r="E49" s="4"/>
    </row>
    <row r="50" spans="1:7" x14ac:dyDescent="0.2">
      <c r="A50" s="4" t="s">
        <v>47</v>
      </c>
      <c r="B50" s="4"/>
      <c r="C50" s="4"/>
      <c r="D50" s="4"/>
      <c r="E50" s="4"/>
    </row>
    <row r="51" spans="1:7" x14ac:dyDescent="0.2">
      <c r="A51" s="4" t="s">
        <v>48</v>
      </c>
      <c r="B51" s="4"/>
      <c r="C51" s="4"/>
      <c r="D51" s="4"/>
      <c r="E51" s="4"/>
    </row>
    <row r="52" spans="1:7" x14ac:dyDescent="0.2">
      <c r="A52" s="4"/>
      <c r="B52" s="4"/>
      <c r="C52" s="4"/>
      <c r="D52" s="4"/>
      <c r="E52" s="4"/>
    </row>
    <row r="53" spans="1:7" x14ac:dyDescent="0.2">
      <c r="A53" s="4" t="s">
        <v>49</v>
      </c>
      <c r="B53" s="4"/>
      <c r="C53" s="4"/>
      <c r="D53" s="4"/>
      <c r="E53" s="4"/>
    </row>
    <row r="54" spans="1:7" x14ac:dyDescent="0.2">
      <c r="A54" s="4" t="s">
        <v>167</v>
      </c>
      <c r="B54" s="4"/>
      <c r="C54" s="4"/>
      <c r="D54" s="4"/>
      <c r="E54" s="4"/>
    </row>
    <row r="55" spans="1:7" x14ac:dyDescent="0.2">
      <c r="A55" s="4" t="s">
        <v>50</v>
      </c>
      <c r="B55" s="4"/>
      <c r="C55" s="4"/>
      <c r="D55" s="4"/>
      <c r="E55" s="4"/>
    </row>
    <row r="56" spans="1:7" x14ac:dyDescent="0.2">
      <c r="A56" s="4"/>
      <c r="B56" s="4"/>
      <c r="C56" s="4"/>
      <c r="D56" s="4"/>
      <c r="E56" s="4"/>
    </row>
    <row r="58" spans="1:7" x14ac:dyDescent="0.2">
      <c r="A58" s="3" t="s">
        <v>51</v>
      </c>
      <c r="B58" s="4"/>
      <c r="C58" s="4"/>
      <c r="D58" s="4"/>
      <c r="E58" s="4" t="s">
        <v>21</v>
      </c>
    </row>
    <row r="59" spans="1:7" x14ac:dyDescent="0.2">
      <c r="A59" s="4"/>
      <c r="B59" s="4"/>
      <c r="C59" s="4"/>
      <c r="D59" s="4"/>
      <c r="E59" s="4"/>
    </row>
    <row r="60" spans="1:7" x14ac:dyDescent="0.2">
      <c r="A60" s="4" t="s">
        <v>209</v>
      </c>
      <c r="B60" s="4"/>
      <c r="C60" s="6" t="s">
        <v>52</v>
      </c>
      <c r="D60" s="4"/>
      <c r="E60" s="6">
        <v>0</v>
      </c>
    </row>
    <row r="61" spans="1:7" x14ac:dyDescent="0.2">
      <c r="A61" s="4" t="s">
        <v>53</v>
      </c>
      <c r="B61" s="4"/>
      <c r="C61" s="6" t="s">
        <v>16</v>
      </c>
      <c r="D61" s="4"/>
      <c r="E61" s="10">
        <v>0</v>
      </c>
    </row>
    <row r="62" spans="1:7" x14ac:dyDescent="0.2">
      <c r="A62" s="4"/>
      <c r="B62" s="4"/>
      <c r="C62" s="4"/>
      <c r="D62" s="4"/>
      <c r="E62" s="4"/>
    </row>
    <row r="63" spans="1:7" x14ac:dyDescent="0.2">
      <c r="A63" s="3" t="s">
        <v>54</v>
      </c>
      <c r="B63" s="4"/>
      <c r="C63" s="4"/>
      <c r="D63" s="4"/>
      <c r="E63" s="4" t="s">
        <v>55</v>
      </c>
      <c r="G63" t="s">
        <v>56</v>
      </c>
    </row>
    <row r="64" spans="1:7" ht="16" thickBot="1" x14ac:dyDescent="0.25">
      <c r="A64" s="4"/>
      <c r="B64" s="4"/>
      <c r="C64" s="4"/>
      <c r="D64" s="4"/>
      <c r="E64" s="4"/>
    </row>
    <row r="65" spans="1:33" ht="16" thickBot="1" x14ac:dyDescent="0.25">
      <c r="A65" s="4" t="s">
        <v>209</v>
      </c>
      <c r="B65" s="4"/>
      <c r="C65" s="6" t="s">
        <v>57</v>
      </c>
      <c r="D65" s="4"/>
      <c r="E65" s="9">
        <v>35</v>
      </c>
      <c r="G65" s="25">
        <v>72.235086664974148</v>
      </c>
    </row>
    <row r="66" spans="1:33" x14ac:dyDescent="0.2">
      <c r="A66" s="4" t="s">
        <v>53</v>
      </c>
      <c r="B66" s="4"/>
      <c r="C66" s="6" t="s">
        <v>16</v>
      </c>
      <c r="D66" s="4"/>
      <c r="E66" s="10">
        <v>0</v>
      </c>
      <c r="G66" s="26">
        <v>0</v>
      </c>
    </row>
    <row r="69" spans="1:33" x14ac:dyDescent="0.2">
      <c r="A69" s="1" t="s">
        <v>210</v>
      </c>
    </row>
    <row r="71" spans="1:33" x14ac:dyDescent="0.2">
      <c r="A71" s="1" t="s">
        <v>58</v>
      </c>
      <c r="E71">
        <v>2025</v>
      </c>
      <c r="F71">
        <f t="shared" ref="F71:N71" si="1">+E71+1</f>
        <v>2026</v>
      </c>
      <c r="G71">
        <f t="shared" si="1"/>
        <v>2027</v>
      </c>
      <c r="I71">
        <f>+G71+1</f>
        <v>2028</v>
      </c>
      <c r="J71">
        <f t="shared" si="1"/>
        <v>2029</v>
      </c>
      <c r="K71">
        <f t="shared" si="1"/>
        <v>2030</v>
      </c>
      <c r="L71">
        <f t="shared" si="1"/>
        <v>2031</v>
      </c>
      <c r="M71">
        <f t="shared" si="1"/>
        <v>2032</v>
      </c>
      <c r="N71">
        <f t="shared" si="1"/>
        <v>2033</v>
      </c>
      <c r="O71">
        <v>2034</v>
      </c>
      <c r="P71">
        <f>+O71+1</f>
        <v>2035</v>
      </c>
      <c r="Q71">
        <v>2036</v>
      </c>
      <c r="R71">
        <v>2037</v>
      </c>
      <c r="S71">
        <v>2038</v>
      </c>
      <c r="T71">
        <f>+S71+1</f>
        <v>2039</v>
      </c>
      <c r="U71">
        <f>+T71+1</f>
        <v>2040</v>
      </c>
      <c r="V71">
        <f>+U71+1</f>
        <v>2041</v>
      </c>
      <c r="W71">
        <v>2039</v>
      </c>
      <c r="X71">
        <f t="shared" ref="X71:Z71" si="2">+W71+1</f>
        <v>2040</v>
      </c>
      <c r="Y71">
        <f t="shared" si="2"/>
        <v>2041</v>
      </c>
      <c r="Z71">
        <f t="shared" si="2"/>
        <v>2042</v>
      </c>
      <c r="AA71">
        <v>2040</v>
      </c>
      <c r="AB71">
        <f t="shared" ref="AB71:AD71" si="3">+AA71+1</f>
        <v>2041</v>
      </c>
      <c r="AC71">
        <f t="shared" si="3"/>
        <v>2042</v>
      </c>
      <c r="AD71">
        <f t="shared" si="3"/>
        <v>2043</v>
      </c>
      <c r="AE71">
        <v>2041</v>
      </c>
      <c r="AF71">
        <f t="shared" ref="AF71:AG71" si="4">+AE71+1</f>
        <v>2042</v>
      </c>
      <c r="AG71">
        <f t="shared" si="4"/>
        <v>2043</v>
      </c>
    </row>
    <row r="73" spans="1:33" x14ac:dyDescent="0.2">
      <c r="A73" t="s">
        <v>59</v>
      </c>
      <c r="I73">
        <v>1</v>
      </c>
      <c r="J73">
        <f>+I73+1</f>
        <v>2</v>
      </c>
      <c r="K73">
        <f t="shared" ref="K73:AG73" si="5">+J73+1</f>
        <v>3</v>
      </c>
      <c r="L73">
        <f t="shared" si="5"/>
        <v>4</v>
      </c>
      <c r="M73">
        <f t="shared" si="5"/>
        <v>5</v>
      </c>
      <c r="N73">
        <f t="shared" si="5"/>
        <v>6</v>
      </c>
      <c r="O73">
        <f t="shared" si="5"/>
        <v>7</v>
      </c>
      <c r="P73">
        <f t="shared" si="5"/>
        <v>8</v>
      </c>
      <c r="Q73">
        <f t="shared" si="5"/>
        <v>9</v>
      </c>
      <c r="R73">
        <f t="shared" si="5"/>
        <v>10</v>
      </c>
      <c r="S73">
        <f t="shared" si="5"/>
        <v>11</v>
      </c>
      <c r="T73">
        <f t="shared" si="5"/>
        <v>12</v>
      </c>
      <c r="U73">
        <f t="shared" si="5"/>
        <v>13</v>
      </c>
      <c r="V73">
        <f t="shared" si="5"/>
        <v>14</v>
      </c>
      <c r="W73">
        <f t="shared" si="5"/>
        <v>15</v>
      </c>
      <c r="X73">
        <f t="shared" si="5"/>
        <v>16</v>
      </c>
      <c r="Y73">
        <f t="shared" si="5"/>
        <v>17</v>
      </c>
      <c r="Z73">
        <f t="shared" si="5"/>
        <v>18</v>
      </c>
      <c r="AA73">
        <f t="shared" si="5"/>
        <v>19</v>
      </c>
      <c r="AB73">
        <f t="shared" si="5"/>
        <v>20</v>
      </c>
      <c r="AC73">
        <f t="shared" si="5"/>
        <v>21</v>
      </c>
      <c r="AD73">
        <f t="shared" si="5"/>
        <v>22</v>
      </c>
      <c r="AE73">
        <f t="shared" si="5"/>
        <v>23</v>
      </c>
      <c r="AF73">
        <f t="shared" si="5"/>
        <v>24</v>
      </c>
      <c r="AG73">
        <f t="shared" si="5"/>
        <v>25</v>
      </c>
    </row>
    <row r="74" spans="1:33" x14ac:dyDescent="0.2">
      <c r="A74" t="s">
        <v>60</v>
      </c>
      <c r="E74">
        <v>1</v>
      </c>
      <c r="F74">
        <v>2</v>
      </c>
      <c r="G74">
        <v>3</v>
      </c>
    </row>
    <row r="76" spans="1:33" x14ac:dyDescent="0.2">
      <c r="A76" s="27" t="s">
        <v>61</v>
      </c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</row>
    <row r="77" spans="1:33" x14ac:dyDescent="0.2">
      <c r="A77" t="s">
        <v>62</v>
      </c>
      <c r="C77" s="11" t="s">
        <v>3</v>
      </c>
      <c r="E77" s="28"/>
      <c r="F77" s="28"/>
      <c r="G77" s="28"/>
      <c r="H77" s="28"/>
      <c r="I77" s="29">
        <f>+$E$7</f>
        <v>280320</v>
      </c>
      <c r="J77" s="29">
        <f t="shared" ref="J77:AG77" si="6">+$E$7</f>
        <v>280320</v>
      </c>
      <c r="K77" s="29">
        <f t="shared" si="6"/>
        <v>280320</v>
      </c>
      <c r="L77" s="29">
        <f t="shared" si="6"/>
        <v>280320</v>
      </c>
      <c r="M77" s="29">
        <f t="shared" si="6"/>
        <v>280320</v>
      </c>
      <c r="N77" s="29">
        <f t="shared" si="6"/>
        <v>280320</v>
      </c>
      <c r="O77" s="29">
        <f t="shared" si="6"/>
        <v>280320</v>
      </c>
      <c r="P77" s="29">
        <f t="shared" si="6"/>
        <v>280320</v>
      </c>
      <c r="Q77" s="29">
        <f t="shared" si="6"/>
        <v>280320</v>
      </c>
      <c r="R77" s="29">
        <f t="shared" si="6"/>
        <v>280320</v>
      </c>
      <c r="S77" s="29">
        <f t="shared" si="6"/>
        <v>280320</v>
      </c>
      <c r="T77" s="29">
        <f t="shared" si="6"/>
        <v>280320</v>
      </c>
      <c r="U77" s="29">
        <f t="shared" si="6"/>
        <v>280320</v>
      </c>
      <c r="V77" s="29">
        <f t="shared" si="6"/>
        <v>280320</v>
      </c>
      <c r="W77" s="29">
        <f t="shared" si="6"/>
        <v>280320</v>
      </c>
      <c r="X77" s="29">
        <f t="shared" si="6"/>
        <v>280320</v>
      </c>
      <c r="Y77" s="29">
        <f t="shared" si="6"/>
        <v>280320</v>
      </c>
      <c r="Z77" s="29">
        <f t="shared" si="6"/>
        <v>280320</v>
      </c>
      <c r="AA77" s="29">
        <f t="shared" si="6"/>
        <v>280320</v>
      </c>
      <c r="AB77" s="29">
        <f t="shared" si="6"/>
        <v>280320</v>
      </c>
      <c r="AC77" s="29">
        <f t="shared" si="6"/>
        <v>280320</v>
      </c>
      <c r="AD77" s="29">
        <f t="shared" si="6"/>
        <v>280320</v>
      </c>
      <c r="AE77" s="29">
        <f t="shared" si="6"/>
        <v>280320</v>
      </c>
      <c r="AF77" s="29">
        <f t="shared" si="6"/>
        <v>280320</v>
      </c>
      <c r="AG77" s="29">
        <f t="shared" si="6"/>
        <v>280320</v>
      </c>
    </row>
    <row r="78" spans="1:33" x14ac:dyDescent="0.2">
      <c r="A78" t="s">
        <v>63</v>
      </c>
      <c r="C78" s="11" t="s">
        <v>57</v>
      </c>
      <c r="E78" s="30">
        <f>+G65</f>
        <v>72.235086664974148</v>
      </c>
      <c r="F78" s="31">
        <f>E78*1.025</f>
        <v>74.040963831598489</v>
      </c>
      <c r="G78" s="31">
        <f>F78*1.025</f>
        <v>75.891987927388442</v>
      </c>
      <c r="H78" s="31">
        <f>G78*1.025</f>
        <v>77.789287625573152</v>
      </c>
      <c r="I78" s="31">
        <f>H78*1.025</f>
        <v>79.734019816212481</v>
      </c>
      <c r="J78" s="31">
        <f>I78*1.025</f>
        <v>81.72737031161779</v>
      </c>
      <c r="K78" s="31">
        <f t="shared" ref="K78:AG78" si="7">J78*1.025</f>
        <v>83.770554569408233</v>
      </c>
      <c r="L78" s="31">
        <f t="shared" si="7"/>
        <v>85.864818433643435</v>
      </c>
      <c r="M78" s="31">
        <f t="shared" si="7"/>
        <v>88.011438894484513</v>
      </c>
      <c r="N78" s="31">
        <f t="shared" si="7"/>
        <v>90.211724866846623</v>
      </c>
      <c r="O78" s="31">
        <f t="shared" si="7"/>
        <v>92.467017988517782</v>
      </c>
      <c r="P78" s="31">
        <f t="shared" si="7"/>
        <v>94.778693438230718</v>
      </c>
      <c r="Q78" s="31">
        <f t="shared" si="7"/>
        <v>97.148160774186479</v>
      </c>
      <c r="R78" s="31">
        <f t="shared" si="7"/>
        <v>99.576864793541134</v>
      </c>
      <c r="S78" s="31">
        <f t="shared" si="7"/>
        <v>102.06628641337966</v>
      </c>
      <c r="T78" s="31">
        <f t="shared" si="7"/>
        <v>104.61794357371414</v>
      </c>
      <c r="U78" s="31">
        <f t="shared" si="7"/>
        <v>107.23339216305699</v>
      </c>
      <c r="V78" s="31">
        <f t="shared" si="7"/>
        <v>109.9142269671334</v>
      </c>
      <c r="W78" s="31">
        <f t="shared" si="7"/>
        <v>112.66208264131173</v>
      </c>
      <c r="X78" s="31">
        <f t="shared" si="7"/>
        <v>115.47863470734451</v>
      </c>
      <c r="Y78" s="31">
        <f t="shared" si="7"/>
        <v>118.36560057502811</v>
      </c>
      <c r="Z78" s="31">
        <f t="shared" si="7"/>
        <v>121.3247405894038</v>
      </c>
      <c r="AA78" s="31">
        <f t="shared" si="7"/>
        <v>124.35785910413888</v>
      </c>
      <c r="AB78" s="31">
        <f t="shared" si="7"/>
        <v>127.46680558174235</v>
      </c>
      <c r="AC78" s="31">
        <f t="shared" si="7"/>
        <v>130.6534757212859</v>
      </c>
      <c r="AD78" s="31">
        <f t="shared" si="7"/>
        <v>133.91981261431803</v>
      </c>
      <c r="AE78" s="31">
        <f t="shared" si="7"/>
        <v>137.26780792967597</v>
      </c>
      <c r="AF78" s="31">
        <f t="shared" si="7"/>
        <v>140.69950312791786</v>
      </c>
      <c r="AG78" s="31">
        <f t="shared" si="7"/>
        <v>144.21699070611581</v>
      </c>
    </row>
    <row r="79" spans="1:33" x14ac:dyDescent="0.2">
      <c r="A79" t="s">
        <v>64</v>
      </c>
      <c r="C79" s="11" t="s">
        <v>9</v>
      </c>
      <c r="E79" s="32"/>
      <c r="F79" s="32"/>
      <c r="G79" s="32"/>
      <c r="H79" s="32"/>
      <c r="I79" s="33">
        <f>+I77*I78/1000000</f>
        <v>22.35104043488068</v>
      </c>
      <c r="J79" s="33">
        <f t="shared" ref="J79:AG79" si="8">+J77*J78/1000000</f>
        <v>22.9098164457527</v>
      </c>
      <c r="K79" s="33">
        <f t="shared" si="8"/>
        <v>23.482561856896517</v>
      </c>
      <c r="L79" s="33">
        <f t="shared" si="8"/>
        <v>24.069625903318926</v>
      </c>
      <c r="M79" s="33">
        <f t="shared" si="8"/>
        <v>24.671366550901897</v>
      </c>
      <c r="N79" s="33">
        <f t="shared" si="8"/>
        <v>25.288150714674448</v>
      </c>
      <c r="O79" s="33">
        <f t="shared" si="8"/>
        <v>25.920354482541303</v>
      </c>
      <c r="P79" s="33">
        <f t="shared" si="8"/>
        <v>26.568363344604833</v>
      </c>
      <c r="Q79" s="33">
        <f t="shared" si="8"/>
        <v>27.232572428219957</v>
      </c>
      <c r="R79" s="33">
        <f t="shared" si="8"/>
        <v>27.91338673892545</v>
      </c>
      <c r="S79" s="33">
        <f t="shared" si="8"/>
        <v>28.611221407398585</v>
      </c>
      <c r="T79" s="33">
        <f t="shared" si="8"/>
        <v>29.326501942583551</v>
      </c>
      <c r="U79" s="33">
        <f t="shared" si="8"/>
        <v>30.059664491148137</v>
      </c>
      <c r="V79" s="33">
        <f t="shared" si="8"/>
        <v>30.811156103426836</v>
      </c>
      <c r="W79" s="33">
        <f t="shared" si="8"/>
        <v>31.581435006012502</v>
      </c>
      <c r="X79" s="33">
        <f t="shared" si="8"/>
        <v>32.370970881162812</v>
      </c>
      <c r="Y79" s="33">
        <f t="shared" si="8"/>
        <v>33.180245153191876</v>
      </c>
      <c r="Z79" s="33">
        <f t="shared" si="8"/>
        <v>34.009751282021675</v>
      </c>
      <c r="AA79" s="33">
        <f t="shared" si="8"/>
        <v>34.859995064072216</v>
      </c>
      <c r="AB79" s="33">
        <f t="shared" si="8"/>
        <v>35.731494940674011</v>
      </c>
      <c r="AC79" s="33">
        <f t="shared" si="8"/>
        <v>36.624782314190867</v>
      </c>
      <c r="AD79" s="33">
        <f t="shared" si="8"/>
        <v>37.540401872045628</v>
      </c>
      <c r="AE79" s="33">
        <f t="shared" si="8"/>
        <v>38.478911918846762</v>
      </c>
      <c r="AF79" s="33">
        <f t="shared" si="8"/>
        <v>39.440884716817941</v>
      </c>
      <c r="AG79" s="33">
        <f t="shared" si="8"/>
        <v>40.426906834738382</v>
      </c>
    </row>
    <row r="80" spans="1:33" x14ac:dyDescent="0.2">
      <c r="C80" s="11"/>
    </row>
    <row r="81" spans="1:33" x14ac:dyDescent="0.2">
      <c r="A81" s="27" t="s">
        <v>65</v>
      </c>
      <c r="C81" s="11"/>
    </row>
    <row r="82" spans="1:33" x14ac:dyDescent="0.2">
      <c r="A82" t="s">
        <v>66</v>
      </c>
      <c r="C82" s="11" t="s">
        <v>67</v>
      </c>
      <c r="E82" s="34">
        <f>+E9</f>
        <v>42</v>
      </c>
      <c r="F82" s="35">
        <f>+E82*(1+$E$17)</f>
        <v>43.05</v>
      </c>
      <c r="G82" s="35">
        <f t="shared" ref="G82:AG82" si="9">+F82*(1+$E$17)</f>
        <v>44.126249999999992</v>
      </c>
      <c r="H82" s="35">
        <f>G82*1.025</f>
        <v>45.22940624999999</v>
      </c>
      <c r="I82" s="35">
        <f>+G82*(1+$E$17)</f>
        <v>45.22940624999999</v>
      </c>
      <c r="J82" s="35">
        <f t="shared" si="9"/>
        <v>46.360141406249987</v>
      </c>
      <c r="K82" s="35">
        <f t="shared" si="9"/>
        <v>47.519144941406232</v>
      </c>
      <c r="L82" s="35">
        <f t="shared" si="9"/>
        <v>48.707123564941384</v>
      </c>
      <c r="M82" s="35">
        <f t="shared" si="9"/>
        <v>49.924801654064915</v>
      </c>
      <c r="N82" s="35">
        <f t="shared" si="9"/>
        <v>51.172921695416534</v>
      </c>
      <c r="O82" s="35">
        <f t="shared" si="9"/>
        <v>52.452244737801941</v>
      </c>
      <c r="P82" s="35">
        <f t="shared" si="9"/>
        <v>53.763550856246987</v>
      </c>
      <c r="Q82" s="35">
        <f t="shared" si="9"/>
        <v>55.107639627653157</v>
      </c>
      <c r="R82" s="35">
        <f t="shared" si="9"/>
        <v>56.485330618344484</v>
      </c>
      <c r="S82" s="35">
        <f t="shared" si="9"/>
        <v>57.897463883803091</v>
      </c>
      <c r="T82" s="35">
        <f t="shared" si="9"/>
        <v>59.344900480898161</v>
      </c>
      <c r="U82" s="35">
        <f t="shared" si="9"/>
        <v>60.828522992920611</v>
      </c>
      <c r="V82" s="35">
        <f t="shared" si="9"/>
        <v>62.349236067743618</v>
      </c>
      <c r="W82" s="35">
        <f t="shared" si="9"/>
        <v>63.907966969437204</v>
      </c>
      <c r="X82" s="35">
        <f t="shared" si="9"/>
        <v>65.505666143673125</v>
      </c>
      <c r="Y82" s="35">
        <f t="shared" si="9"/>
        <v>67.143307797264953</v>
      </c>
      <c r="Z82" s="35">
        <f t="shared" si="9"/>
        <v>68.821890492196573</v>
      </c>
      <c r="AA82" s="35">
        <f t="shared" si="9"/>
        <v>70.542437754501478</v>
      </c>
      <c r="AB82" s="35">
        <f t="shared" si="9"/>
        <v>72.305998698364007</v>
      </c>
      <c r="AC82" s="35">
        <f t="shared" si="9"/>
        <v>74.113648665823106</v>
      </c>
      <c r="AD82" s="35">
        <f t="shared" si="9"/>
        <v>75.966489882468679</v>
      </c>
      <c r="AE82" s="35">
        <f t="shared" si="9"/>
        <v>77.865652129530389</v>
      </c>
      <c r="AF82" s="35">
        <f t="shared" si="9"/>
        <v>79.812293432768641</v>
      </c>
      <c r="AG82" s="35">
        <f t="shared" si="9"/>
        <v>81.807600768587847</v>
      </c>
    </row>
    <row r="83" spans="1:33" x14ac:dyDescent="0.2">
      <c r="A83" t="s">
        <v>66</v>
      </c>
      <c r="C83" s="11" t="s">
        <v>9</v>
      </c>
      <c r="I83" s="36">
        <f>+I82*$E$5*1000/1000000</f>
        <v>3.618352499999999</v>
      </c>
      <c r="J83" s="36">
        <f t="shared" ref="J83:AG83" si="10">+J82*$E$5*1000/1000000</f>
        <v>3.7088113124999991</v>
      </c>
      <c r="K83" s="36">
        <f t="shared" si="10"/>
        <v>3.8015315953124986</v>
      </c>
      <c r="L83" s="36">
        <f t="shared" si="10"/>
        <v>3.8965698851953108</v>
      </c>
      <c r="M83" s="36">
        <f t="shared" si="10"/>
        <v>3.9939841323251928</v>
      </c>
      <c r="N83" s="36">
        <f t="shared" si="10"/>
        <v>4.0938337356333223</v>
      </c>
      <c r="O83" s="36">
        <f t="shared" si="10"/>
        <v>4.1961795790241547</v>
      </c>
      <c r="P83" s="36">
        <f t="shared" si="10"/>
        <v>4.3010840684997591</v>
      </c>
      <c r="Q83" s="36">
        <f t="shared" si="10"/>
        <v>4.4086111702122528</v>
      </c>
      <c r="R83" s="36">
        <f t="shared" si="10"/>
        <v>4.5188264494675581</v>
      </c>
      <c r="S83" s="36">
        <f t="shared" si="10"/>
        <v>4.6317971107042482</v>
      </c>
      <c r="T83" s="36">
        <f t="shared" si="10"/>
        <v>4.7475920384718533</v>
      </c>
      <c r="U83" s="36">
        <f t="shared" si="10"/>
        <v>4.8662818394336496</v>
      </c>
      <c r="V83" s="36">
        <f t="shared" si="10"/>
        <v>4.9879388854194895</v>
      </c>
      <c r="W83" s="36">
        <f t="shared" si="10"/>
        <v>5.1126373575549762</v>
      </c>
      <c r="X83" s="36">
        <f t="shared" si="10"/>
        <v>5.24045329149385</v>
      </c>
      <c r="Y83" s="36">
        <f t="shared" si="10"/>
        <v>5.371464623781196</v>
      </c>
      <c r="Z83" s="36">
        <f t="shared" si="10"/>
        <v>5.5057512393757264</v>
      </c>
      <c r="AA83" s="36">
        <f t="shared" si="10"/>
        <v>5.643395020360118</v>
      </c>
      <c r="AB83" s="36">
        <f t="shared" si="10"/>
        <v>5.7844798958691213</v>
      </c>
      <c r="AC83" s="36">
        <f t="shared" si="10"/>
        <v>5.9290918932658494</v>
      </c>
      <c r="AD83" s="36">
        <f t="shared" si="10"/>
        <v>6.0773191905974944</v>
      </c>
      <c r="AE83" s="36">
        <f t="shared" si="10"/>
        <v>6.2292521703624315</v>
      </c>
      <c r="AF83" s="36">
        <f t="shared" si="10"/>
        <v>6.3849834746214915</v>
      </c>
      <c r="AG83" s="36">
        <f t="shared" si="10"/>
        <v>6.5446080614870281</v>
      </c>
    </row>
    <row r="84" spans="1:33" x14ac:dyDescent="0.2">
      <c r="A84" t="s">
        <v>68</v>
      </c>
      <c r="C84" s="11" t="s">
        <v>57</v>
      </c>
      <c r="E84" s="34">
        <f>+E10</f>
        <v>0</v>
      </c>
      <c r="F84" s="35">
        <f>+E84*(1+$E$17)</f>
        <v>0</v>
      </c>
      <c r="G84" s="35">
        <f t="shared" ref="G84:N84" si="11">+F84*(1+$E$17)</f>
        <v>0</v>
      </c>
      <c r="H84" s="35"/>
      <c r="I84" s="35">
        <f>+G84*(1+$E$17)</f>
        <v>0</v>
      </c>
      <c r="J84" s="35">
        <f t="shared" si="11"/>
        <v>0</v>
      </c>
      <c r="K84" s="35">
        <f t="shared" si="11"/>
        <v>0</v>
      </c>
      <c r="L84" s="35">
        <f t="shared" si="11"/>
        <v>0</v>
      </c>
      <c r="M84" s="35">
        <f t="shared" si="11"/>
        <v>0</v>
      </c>
      <c r="N84" s="35">
        <f t="shared" si="11"/>
        <v>0</v>
      </c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</row>
    <row r="85" spans="1:33" x14ac:dyDescent="0.2">
      <c r="A85" t="s">
        <v>68</v>
      </c>
      <c r="C85" s="11" t="s">
        <v>9</v>
      </c>
      <c r="I85" s="37">
        <f>+I77*I84/1000000</f>
        <v>0</v>
      </c>
      <c r="J85" s="37">
        <f t="shared" ref="J85:N85" si="12">+J77*J84/1000000</f>
        <v>0</v>
      </c>
      <c r="K85" s="37">
        <f t="shared" si="12"/>
        <v>0</v>
      </c>
      <c r="L85" s="37">
        <f t="shared" si="12"/>
        <v>0</v>
      </c>
      <c r="M85" s="37">
        <f t="shared" si="12"/>
        <v>0</v>
      </c>
      <c r="N85" s="37">
        <f t="shared" si="12"/>
        <v>0</v>
      </c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</row>
    <row r="86" spans="1:33" x14ac:dyDescent="0.2">
      <c r="A86" t="s">
        <v>4</v>
      </c>
      <c r="C86" s="11" t="s">
        <v>5</v>
      </c>
      <c r="I86" s="34">
        <f>+$E$8</f>
        <v>0</v>
      </c>
      <c r="J86" s="34">
        <f t="shared" ref="J86:N86" si="13">+$E$8</f>
        <v>0</v>
      </c>
      <c r="K86" s="34">
        <f t="shared" si="13"/>
        <v>0</v>
      </c>
      <c r="L86" s="34">
        <f t="shared" si="13"/>
        <v>0</v>
      </c>
      <c r="M86" s="34">
        <f t="shared" si="13"/>
        <v>0</v>
      </c>
      <c r="N86" s="34">
        <f t="shared" si="13"/>
        <v>0</v>
      </c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</row>
    <row r="87" spans="1:33" x14ac:dyDescent="0.2">
      <c r="A87" t="s">
        <v>69</v>
      </c>
      <c r="C87" s="11" t="s">
        <v>70</v>
      </c>
      <c r="I87" s="38">
        <f>+I86*I77*1000/1000000</f>
        <v>0</v>
      </c>
      <c r="J87" s="38">
        <f t="shared" ref="J87:N87" si="14">+J86*J77*1000/1000000</f>
        <v>0</v>
      </c>
      <c r="K87" s="38">
        <f t="shared" si="14"/>
        <v>0</v>
      </c>
      <c r="L87" s="38">
        <f t="shared" si="14"/>
        <v>0</v>
      </c>
      <c r="M87" s="38">
        <f t="shared" si="14"/>
        <v>0</v>
      </c>
      <c r="N87" s="38">
        <f t="shared" si="14"/>
        <v>0</v>
      </c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</row>
    <row r="88" spans="1:33" x14ac:dyDescent="0.2">
      <c r="A88" t="s">
        <v>71</v>
      </c>
      <c r="C88" s="11" t="s">
        <v>52</v>
      </c>
      <c r="E88" s="35">
        <f>+E60</f>
        <v>0</v>
      </c>
      <c r="F88" s="35">
        <f>+E88*(1+$E$61)</f>
        <v>0</v>
      </c>
      <c r="G88" s="35">
        <f t="shared" ref="G88:N88" si="15">+F88*(1+$E$61)</f>
        <v>0</v>
      </c>
      <c r="H88" s="35"/>
      <c r="I88" s="35">
        <f>+G88*(1+$E$61)</f>
        <v>0</v>
      </c>
      <c r="J88" s="35">
        <f t="shared" si="15"/>
        <v>0</v>
      </c>
      <c r="K88" s="35">
        <f t="shared" si="15"/>
        <v>0</v>
      </c>
      <c r="L88" s="35">
        <f t="shared" si="15"/>
        <v>0</v>
      </c>
      <c r="M88" s="35">
        <f t="shared" si="15"/>
        <v>0</v>
      </c>
      <c r="N88" s="35">
        <f t="shared" si="15"/>
        <v>0</v>
      </c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</row>
    <row r="89" spans="1:33" x14ac:dyDescent="0.2">
      <c r="A89" t="s">
        <v>72</v>
      </c>
      <c r="C89" s="11" t="s">
        <v>9</v>
      </c>
      <c r="I89" s="39">
        <f>+I87*I88/1000000</f>
        <v>0</v>
      </c>
      <c r="J89" s="39">
        <f t="shared" ref="J89:N89" si="16">+J87*J88/1000000</f>
        <v>0</v>
      </c>
      <c r="K89" s="39">
        <f t="shared" si="16"/>
        <v>0</v>
      </c>
      <c r="L89" s="39">
        <f t="shared" si="16"/>
        <v>0</v>
      </c>
      <c r="M89" s="39">
        <f t="shared" si="16"/>
        <v>0</v>
      </c>
      <c r="N89" s="39">
        <f t="shared" si="16"/>
        <v>0</v>
      </c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</row>
    <row r="90" spans="1:33" x14ac:dyDescent="0.2">
      <c r="A90" t="s">
        <v>73</v>
      </c>
      <c r="C90" s="11" t="s">
        <v>9</v>
      </c>
      <c r="I90" s="40">
        <f>+I83+I85+I89</f>
        <v>3.618352499999999</v>
      </c>
      <c r="J90" s="40">
        <f t="shared" ref="J90:AG90" si="17">+J83+J85+J89</f>
        <v>3.7088113124999991</v>
      </c>
      <c r="K90" s="40">
        <f t="shared" si="17"/>
        <v>3.8015315953124986</v>
      </c>
      <c r="L90" s="40">
        <f t="shared" si="17"/>
        <v>3.8965698851953108</v>
      </c>
      <c r="M90" s="40">
        <f t="shared" si="17"/>
        <v>3.9939841323251928</v>
      </c>
      <c r="N90" s="40">
        <f t="shared" si="17"/>
        <v>4.0938337356333223</v>
      </c>
      <c r="O90" s="40">
        <f t="shared" si="17"/>
        <v>4.1961795790241547</v>
      </c>
      <c r="P90" s="40">
        <f t="shared" si="17"/>
        <v>4.3010840684997591</v>
      </c>
      <c r="Q90" s="40">
        <f t="shared" si="17"/>
        <v>4.4086111702122528</v>
      </c>
      <c r="R90" s="40">
        <f t="shared" si="17"/>
        <v>4.5188264494675581</v>
      </c>
      <c r="S90" s="40">
        <f t="shared" si="17"/>
        <v>4.6317971107042482</v>
      </c>
      <c r="T90" s="40">
        <f t="shared" si="17"/>
        <v>4.7475920384718533</v>
      </c>
      <c r="U90" s="40">
        <f t="shared" si="17"/>
        <v>4.8662818394336496</v>
      </c>
      <c r="V90" s="40">
        <f t="shared" si="17"/>
        <v>4.9879388854194895</v>
      </c>
      <c r="W90" s="40">
        <f t="shared" si="17"/>
        <v>5.1126373575549762</v>
      </c>
      <c r="X90" s="40">
        <f t="shared" si="17"/>
        <v>5.24045329149385</v>
      </c>
      <c r="Y90" s="40">
        <f t="shared" si="17"/>
        <v>5.371464623781196</v>
      </c>
      <c r="Z90" s="40">
        <f t="shared" si="17"/>
        <v>5.5057512393757264</v>
      </c>
      <c r="AA90" s="40">
        <f t="shared" si="17"/>
        <v>5.643395020360118</v>
      </c>
      <c r="AB90" s="40">
        <f t="shared" si="17"/>
        <v>5.7844798958691213</v>
      </c>
      <c r="AC90" s="40">
        <f t="shared" si="17"/>
        <v>5.9290918932658494</v>
      </c>
      <c r="AD90" s="40">
        <f t="shared" si="17"/>
        <v>6.0773191905974944</v>
      </c>
      <c r="AE90" s="40">
        <f t="shared" si="17"/>
        <v>6.2292521703624315</v>
      </c>
      <c r="AF90" s="40">
        <f t="shared" si="17"/>
        <v>6.3849834746214915</v>
      </c>
      <c r="AG90" s="40">
        <f t="shared" si="17"/>
        <v>6.5446080614870281</v>
      </c>
    </row>
    <row r="91" spans="1:33" x14ac:dyDescent="0.2">
      <c r="C91" s="11"/>
    </row>
    <row r="92" spans="1:33" x14ac:dyDescent="0.2">
      <c r="A92" s="27" t="s">
        <v>74</v>
      </c>
      <c r="C92" s="11" t="s">
        <v>9</v>
      </c>
      <c r="I92" s="40">
        <f>+I79-I90</f>
        <v>18.73268793488068</v>
      </c>
      <c r="J92" s="40">
        <f t="shared" ref="J92:AG92" si="18">+J79-J90</f>
        <v>19.2010051332527</v>
      </c>
      <c r="K92" s="40">
        <f t="shared" si="18"/>
        <v>19.68103026158402</v>
      </c>
      <c r="L92" s="40">
        <f t="shared" si="18"/>
        <v>20.173056018123614</v>
      </c>
      <c r="M92" s="40">
        <f t="shared" si="18"/>
        <v>20.677382418576705</v>
      </c>
      <c r="N92" s="40">
        <f t="shared" si="18"/>
        <v>21.194316979041126</v>
      </c>
      <c r="O92" s="40">
        <f t="shared" si="18"/>
        <v>21.724174903517149</v>
      </c>
      <c r="P92" s="40">
        <f t="shared" si="18"/>
        <v>22.267279276105075</v>
      </c>
      <c r="Q92" s="40">
        <f t="shared" si="18"/>
        <v>22.823961258007703</v>
      </c>
      <c r="R92" s="40">
        <f t="shared" si="18"/>
        <v>23.394560289457893</v>
      </c>
      <c r="S92" s="40">
        <f t="shared" si="18"/>
        <v>23.979424296694337</v>
      </c>
      <c r="T92" s="40">
        <f t="shared" si="18"/>
        <v>24.578909904111697</v>
      </c>
      <c r="U92" s="40">
        <f t="shared" si="18"/>
        <v>25.193382651714487</v>
      </c>
      <c r="V92" s="40">
        <f t="shared" si="18"/>
        <v>25.823217218007347</v>
      </c>
      <c r="W92" s="40">
        <f t="shared" si="18"/>
        <v>26.468797648457524</v>
      </c>
      <c r="X92" s="40">
        <f t="shared" si="18"/>
        <v>27.130517589668962</v>
      </c>
      <c r="Y92" s="40">
        <f t="shared" si="18"/>
        <v>27.808780529410679</v>
      </c>
      <c r="Z92" s="40">
        <f t="shared" si="18"/>
        <v>28.504000042645949</v>
      </c>
      <c r="AA92" s="40">
        <f t="shared" si="18"/>
        <v>29.216600043712099</v>
      </c>
      <c r="AB92" s="40">
        <f t="shared" si="18"/>
        <v>29.947015044804889</v>
      </c>
      <c r="AC92" s="40">
        <f t="shared" si="18"/>
        <v>30.695690420925018</v>
      </c>
      <c r="AD92" s="40">
        <f t="shared" si="18"/>
        <v>31.463082681448135</v>
      </c>
      <c r="AE92" s="40">
        <f t="shared" si="18"/>
        <v>32.249659748484333</v>
      </c>
      <c r="AF92" s="40">
        <f t="shared" si="18"/>
        <v>33.055901242196448</v>
      </c>
      <c r="AG92" s="40">
        <f t="shared" si="18"/>
        <v>33.882298773251357</v>
      </c>
    </row>
    <row r="93" spans="1:33" x14ac:dyDescent="0.2">
      <c r="A93" s="27"/>
      <c r="C93" s="1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</row>
    <row r="94" spans="1:33" x14ac:dyDescent="0.2">
      <c r="A94" t="s">
        <v>75</v>
      </c>
      <c r="C94" s="11"/>
      <c r="G94" s="75">
        <f>-I90*0.5</f>
        <v>-1.8091762499999995</v>
      </c>
      <c r="H94" s="77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</row>
    <row r="95" spans="1:33" x14ac:dyDescent="0.2">
      <c r="C95" s="11"/>
    </row>
    <row r="96" spans="1:33" x14ac:dyDescent="0.2">
      <c r="A96" t="s">
        <v>76</v>
      </c>
      <c r="C96" s="11" t="s">
        <v>9</v>
      </c>
      <c r="E96" s="42">
        <f>-E35</f>
        <v>-12.600000000000001</v>
      </c>
      <c r="F96" s="42">
        <f t="shared" ref="F96" si="19">-F35</f>
        <v>-50.400000000000006</v>
      </c>
      <c r="G96" s="42">
        <f>G94-G35</f>
        <v>-64.809176249999993</v>
      </c>
      <c r="H96" s="42">
        <v>0</v>
      </c>
      <c r="I96" s="42">
        <f>+I92</f>
        <v>18.73268793488068</v>
      </c>
      <c r="J96" s="42">
        <f t="shared" ref="J96:AG96" si="20">+J92</f>
        <v>19.2010051332527</v>
      </c>
      <c r="K96" s="42">
        <f t="shared" si="20"/>
        <v>19.68103026158402</v>
      </c>
      <c r="L96" s="42">
        <f t="shared" si="20"/>
        <v>20.173056018123614</v>
      </c>
      <c r="M96" s="42">
        <f t="shared" si="20"/>
        <v>20.677382418576705</v>
      </c>
      <c r="N96" s="42">
        <f t="shared" si="20"/>
        <v>21.194316979041126</v>
      </c>
      <c r="O96" s="42">
        <f t="shared" si="20"/>
        <v>21.724174903517149</v>
      </c>
      <c r="P96" s="42">
        <f t="shared" si="20"/>
        <v>22.267279276105075</v>
      </c>
      <c r="Q96" s="42">
        <f t="shared" si="20"/>
        <v>22.823961258007703</v>
      </c>
      <c r="R96" s="42">
        <f t="shared" si="20"/>
        <v>23.394560289457893</v>
      </c>
      <c r="S96" s="42">
        <f t="shared" si="20"/>
        <v>23.979424296694337</v>
      </c>
      <c r="T96" s="42">
        <f t="shared" si="20"/>
        <v>24.578909904111697</v>
      </c>
      <c r="U96" s="42">
        <f t="shared" si="20"/>
        <v>25.193382651714487</v>
      </c>
      <c r="V96" s="42">
        <f t="shared" si="20"/>
        <v>25.823217218007347</v>
      </c>
      <c r="W96" s="42">
        <f t="shared" si="20"/>
        <v>26.468797648457524</v>
      </c>
      <c r="X96" s="42">
        <f t="shared" si="20"/>
        <v>27.130517589668962</v>
      </c>
      <c r="Y96" s="42">
        <f t="shared" si="20"/>
        <v>27.808780529410679</v>
      </c>
      <c r="Z96" s="42">
        <f t="shared" si="20"/>
        <v>28.504000042645949</v>
      </c>
      <c r="AA96" s="42">
        <f t="shared" si="20"/>
        <v>29.216600043712099</v>
      </c>
      <c r="AB96" s="42">
        <f t="shared" si="20"/>
        <v>29.947015044804889</v>
      </c>
      <c r="AC96" s="42">
        <f t="shared" si="20"/>
        <v>30.695690420925018</v>
      </c>
      <c r="AD96" s="42">
        <f t="shared" si="20"/>
        <v>31.463082681448135</v>
      </c>
      <c r="AE96" s="42">
        <f t="shared" si="20"/>
        <v>32.249659748484333</v>
      </c>
      <c r="AF96" s="42">
        <f t="shared" si="20"/>
        <v>33.055901242196448</v>
      </c>
      <c r="AG96" s="42">
        <f t="shared" si="20"/>
        <v>33.882298773251357</v>
      </c>
    </row>
    <row r="97" spans="1:9" x14ac:dyDescent="0.2">
      <c r="C97" s="11"/>
    </row>
    <row r="98" spans="1:9" x14ac:dyDescent="0.2">
      <c r="A98" t="s">
        <v>77</v>
      </c>
      <c r="C98" s="11" t="s">
        <v>16</v>
      </c>
      <c r="E98" s="60">
        <f>+IRR(E96:AG96)</f>
        <v>0.13505308713260722</v>
      </c>
      <c r="G98" t="s">
        <v>229</v>
      </c>
    </row>
    <row r="99" spans="1:9" x14ac:dyDescent="0.2">
      <c r="A99" t="s">
        <v>78</v>
      </c>
      <c r="C99" s="11" t="s">
        <v>9</v>
      </c>
      <c r="E99" s="43">
        <f>+NPV(0.1,E96:AG96)</f>
        <v>39.605266432617398</v>
      </c>
      <c r="F99">
        <v>49.219161843052397</v>
      </c>
      <c r="G99" s="76">
        <f>E99-F99</f>
        <v>-9.6138954104349992</v>
      </c>
      <c r="H99" s="79">
        <f>G99/365</f>
        <v>-2.6339439480643833E-2</v>
      </c>
      <c r="I99" s="79">
        <f>H99*1000000</f>
        <v>-26339.439480643832</v>
      </c>
    </row>
    <row r="101" spans="1:9" x14ac:dyDescent="0.2">
      <c r="A101" s="1" t="s">
        <v>79</v>
      </c>
    </row>
    <row r="103" spans="1:9" x14ac:dyDescent="0.2">
      <c r="A103" s="27" t="s">
        <v>80</v>
      </c>
    </row>
    <row r="104" spans="1:9" x14ac:dyDescent="0.2">
      <c r="A104" t="s">
        <v>41</v>
      </c>
      <c r="C104" s="11" t="s">
        <v>10</v>
      </c>
      <c r="D104" s="44">
        <f>+E42</f>
        <v>3</v>
      </c>
    </row>
    <row r="105" spans="1:9" x14ac:dyDescent="0.2">
      <c r="A105" t="s">
        <v>42</v>
      </c>
      <c r="C105" s="11" t="s">
        <v>16</v>
      </c>
      <c r="D105" s="45">
        <f>+E43</f>
        <v>0.05</v>
      </c>
    </row>
    <row r="106" spans="1:9" x14ac:dyDescent="0.2">
      <c r="A106" t="s">
        <v>43</v>
      </c>
      <c r="C106" s="11" t="s">
        <v>16</v>
      </c>
      <c r="D106" s="45">
        <f>+E44</f>
        <v>0.5</v>
      </c>
    </row>
    <row r="107" spans="1:9" x14ac:dyDescent="0.2">
      <c r="D107" s="22"/>
    </row>
    <row r="108" spans="1:9" x14ac:dyDescent="0.2">
      <c r="A108" s="27" t="s">
        <v>81</v>
      </c>
      <c r="D108" s="22"/>
    </row>
    <row r="109" spans="1:9" x14ac:dyDescent="0.2">
      <c r="A109" t="s">
        <v>82</v>
      </c>
      <c r="C109" s="11" t="s">
        <v>12</v>
      </c>
      <c r="D109" s="22"/>
      <c r="E109" s="11" t="s">
        <v>13</v>
      </c>
      <c r="F109" s="11" t="s">
        <v>14</v>
      </c>
      <c r="G109" s="11" t="s">
        <v>15</v>
      </c>
      <c r="I109" s="11" t="s">
        <v>83</v>
      </c>
    </row>
    <row r="110" spans="1:9" x14ac:dyDescent="0.2">
      <c r="A110" t="s">
        <v>82</v>
      </c>
      <c r="C110" s="11" t="s">
        <v>16</v>
      </c>
      <c r="D110" s="22"/>
      <c r="E110" s="45">
        <f t="shared" ref="E110:G111" si="21">+E34</f>
        <v>0.1</v>
      </c>
      <c r="F110" s="45">
        <f t="shared" si="21"/>
        <v>0.4</v>
      </c>
      <c r="G110" s="45">
        <v>0.5</v>
      </c>
      <c r="I110" s="46">
        <f>+SUM(E110:G110)</f>
        <v>1</v>
      </c>
    </row>
    <row r="111" spans="1:9" x14ac:dyDescent="0.2">
      <c r="A111" t="s">
        <v>82</v>
      </c>
      <c r="C111" s="11" t="s">
        <v>9</v>
      </c>
      <c r="E111" s="23">
        <f t="shared" si="21"/>
        <v>12.600000000000001</v>
      </c>
      <c r="F111" s="23">
        <f t="shared" si="21"/>
        <v>50.400000000000006</v>
      </c>
      <c r="G111" s="23">
        <f t="shared" si="21"/>
        <v>63</v>
      </c>
      <c r="I111" s="47">
        <f>+SUM(E111:G111)</f>
        <v>126</v>
      </c>
    </row>
    <row r="113" spans="1:7" x14ac:dyDescent="0.2">
      <c r="A113" s="27" t="s">
        <v>84</v>
      </c>
      <c r="E113" s="11" t="s">
        <v>13</v>
      </c>
      <c r="F113" s="11" t="s">
        <v>14</v>
      </c>
      <c r="G113" s="11" t="s">
        <v>15</v>
      </c>
    </row>
    <row r="114" spans="1:7" x14ac:dyDescent="0.2">
      <c r="A114" t="s">
        <v>85</v>
      </c>
      <c r="C114" s="11" t="s">
        <v>9</v>
      </c>
      <c r="E114" s="39">
        <v>0</v>
      </c>
      <c r="F114" s="39">
        <f>+E119</f>
        <v>6.4575000000000005</v>
      </c>
      <c r="G114" s="39">
        <f>+F119</f>
        <v>32.610375000000005</v>
      </c>
    </row>
    <row r="115" spans="1:7" x14ac:dyDescent="0.2">
      <c r="A115" t="s">
        <v>86</v>
      </c>
      <c r="C115" s="11" t="s">
        <v>9</v>
      </c>
      <c r="E115" s="39">
        <f>+E111*$D$106</f>
        <v>6.3000000000000007</v>
      </c>
      <c r="F115" s="39">
        <f>+F111*$D$106</f>
        <v>25.200000000000003</v>
      </c>
      <c r="G115" s="39">
        <f>+G111*$D$106</f>
        <v>31.5</v>
      </c>
    </row>
    <row r="116" spans="1:7" x14ac:dyDescent="0.2">
      <c r="A116" t="s">
        <v>87</v>
      </c>
      <c r="C116" s="11" t="s">
        <v>9</v>
      </c>
      <c r="E116" s="39">
        <f>+E114+E115</f>
        <v>6.3000000000000007</v>
      </c>
      <c r="F116" s="39">
        <f>+F114+F115</f>
        <v>31.657500000000002</v>
      </c>
      <c r="G116" s="39">
        <f>+G114+G115</f>
        <v>64.110375000000005</v>
      </c>
    </row>
    <row r="117" spans="1:7" x14ac:dyDescent="0.2">
      <c r="A117" t="s">
        <v>88</v>
      </c>
      <c r="C117" s="11" t="s">
        <v>9</v>
      </c>
      <c r="E117" s="39">
        <f>+(E114+E116)/2</f>
        <v>3.1500000000000004</v>
      </c>
      <c r="F117" s="39">
        <f>+(F114+F116)/2</f>
        <v>19.057500000000001</v>
      </c>
      <c r="G117" s="39">
        <f>+(G114+G116)/2</f>
        <v>48.360375000000005</v>
      </c>
    </row>
    <row r="118" spans="1:7" x14ac:dyDescent="0.2">
      <c r="A118" t="s">
        <v>89</v>
      </c>
      <c r="C118" s="11" t="s">
        <v>9</v>
      </c>
      <c r="E118" s="39">
        <f>+E117*$D$105</f>
        <v>0.15750000000000003</v>
      </c>
      <c r="F118" s="39">
        <f>+F117*$D$105</f>
        <v>0.95287500000000014</v>
      </c>
      <c r="G118" s="39">
        <f>+G117*$D$105</f>
        <v>2.4180187500000003</v>
      </c>
    </row>
    <row r="119" spans="1:7" x14ac:dyDescent="0.2">
      <c r="A119" t="s">
        <v>90</v>
      </c>
      <c r="C119" s="11" t="s">
        <v>9</v>
      </c>
      <c r="E119" s="39">
        <f>+E116+E118</f>
        <v>6.4575000000000005</v>
      </c>
      <c r="F119" s="39">
        <f>+F116+F118</f>
        <v>32.610375000000005</v>
      </c>
      <c r="G119" s="39">
        <f>+G116+G118</f>
        <v>66.528393750000006</v>
      </c>
    </row>
    <row r="121" spans="1:7" x14ac:dyDescent="0.2">
      <c r="E121" s="11" t="s">
        <v>13</v>
      </c>
      <c r="F121" s="11" t="s">
        <v>14</v>
      </c>
      <c r="G121" s="11" t="s">
        <v>15</v>
      </c>
    </row>
    <row r="122" spans="1:7" x14ac:dyDescent="0.2">
      <c r="A122" t="s">
        <v>91</v>
      </c>
      <c r="C122" s="11" t="s">
        <v>9</v>
      </c>
      <c r="E122" s="37">
        <f>+E111-E115</f>
        <v>6.3000000000000007</v>
      </c>
      <c r="F122" s="37">
        <f t="shared" ref="F122:G122" si="22">+F111-F115</f>
        <v>25.200000000000003</v>
      </c>
      <c r="G122" s="37">
        <f t="shared" si="22"/>
        <v>31.5</v>
      </c>
    </row>
    <row r="123" spans="1:7" x14ac:dyDescent="0.2">
      <c r="A123" t="s">
        <v>92</v>
      </c>
      <c r="C123" s="11" t="s">
        <v>9</v>
      </c>
      <c r="E123" s="37">
        <f>+E122</f>
        <v>6.3000000000000007</v>
      </c>
      <c r="F123" s="37">
        <f>+E123+F122</f>
        <v>31.500000000000004</v>
      </c>
      <c r="G123" s="37">
        <f>+F123+G122</f>
        <v>63</v>
      </c>
    </row>
    <row r="125" spans="1:7" x14ac:dyDescent="0.2">
      <c r="A125" t="s">
        <v>93</v>
      </c>
      <c r="E125" s="11" t="s">
        <v>13</v>
      </c>
      <c r="F125" s="11" t="s">
        <v>14</v>
      </c>
      <c r="G125" s="11" t="s">
        <v>15</v>
      </c>
    </row>
    <row r="126" spans="1:7" x14ac:dyDescent="0.2">
      <c r="A126" t="s">
        <v>94</v>
      </c>
      <c r="C126" s="11" t="s">
        <v>9</v>
      </c>
      <c r="E126" s="40">
        <f>+E119</f>
        <v>6.4575000000000005</v>
      </c>
      <c r="F126" s="40">
        <f>+F119</f>
        <v>32.610375000000005</v>
      </c>
      <c r="G126" s="40">
        <f>+G119</f>
        <v>66.528393750000006</v>
      </c>
    </row>
    <row r="127" spans="1:7" x14ac:dyDescent="0.2">
      <c r="A127" t="s">
        <v>95</v>
      </c>
      <c r="C127" s="11" t="s">
        <v>9</v>
      </c>
      <c r="E127" s="37">
        <f>+E122</f>
        <v>6.3000000000000007</v>
      </c>
      <c r="F127" s="37">
        <f>+F123</f>
        <v>31.500000000000004</v>
      </c>
      <c r="G127" s="37">
        <f>+G123</f>
        <v>63</v>
      </c>
    </row>
    <row r="128" spans="1:7" x14ac:dyDescent="0.2">
      <c r="A128" t="s">
        <v>96</v>
      </c>
      <c r="C128" s="11" t="s">
        <v>9</v>
      </c>
      <c r="E128" s="40">
        <f>SUM(E126:E127)</f>
        <v>12.7575</v>
      </c>
      <c r="F128" s="40">
        <f>SUM(F126:F127)</f>
        <v>64.110375000000005</v>
      </c>
      <c r="G128" s="40">
        <f>SUM(G126:G127)</f>
        <v>129.52839375000002</v>
      </c>
    </row>
    <row r="129" spans="1:7" x14ac:dyDescent="0.2">
      <c r="C129" s="11"/>
    </row>
    <row r="130" spans="1:7" x14ac:dyDescent="0.2">
      <c r="A130" s="27" t="s">
        <v>97</v>
      </c>
      <c r="C130" s="11"/>
    </row>
    <row r="131" spans="1:7" x14ac:dyDescent="0.2">
      <c r="G131" s="48"/>
    </row>
    <row r="132" spans="1:7" x14ac:dyDescent="0.2">
      <c r="A132" t="s">
        <v>98</v>
      </c>
      <c r="G132" s="48"/>
    </row>
    <row r="133" spans="1:7" x14ac:dyDescent="0.2">
      <c r="A133" t="s">
        <v>44</v>
      </c>
      <c r="C133" s="11" t="s">
        <v>10</v>
      </c>
      <c r="D133" s="44">
        <f>+E46</f>
        <v>15</v>
      </c>
      <c r="G133" s="48"/>
    </row>
    <row r="134" spans="1:7" x14ac:dyDescent="0.2">
      <c r="A134" t="s">
        <v>45</v>
      </c>
      <c r="C134" s="11" t="s">
        <v>16</v>
      </c>
      <c r="D134" s="64">
        <f>+E47</f>
        <v>6.5000000000000002E-2</v>
      </c>
      <c r="G134" s="48"/>
    </row>
    <row r="135" spans="1:7" x14ac:dyDescent="0.2">
      <c r="A135" t="s">
        <v>46</v>
      </c>
      <c r="C135" s="11" t="s">
        <v>16</v>
      </c>
      <c r="D135" s="45">
        <f>+E48</f>
        <v>0.59555420651468194</v>
      </c>
      <c r="G135" s="48"/>
    </row>
    <row r="136" spans="1:7" x14ac:dyDescent="0.2">
      <c r="G136" s="48"/>
    </row>
    <row r="137" spans="1:7" x14ac:dyDescent="0.2">
      <c r="A137" t="s">
        <v>99</v>
      </c>
      <c r="G137" s="48"/>
    </row>
    <row r="138" spans="1:7" x14ac:dyDescent="0.2">
      <c r="A138" t="s">
        <v>100</v>
      </c>
      <c r="C138" s="11" t="s">
        <v>9</v>
      </c>
      <c r="G138" s="39">
        <f>+G128*D135</f>
        <v>77.141179760902546</v>
      </c>
    </row>
    <row r="139" spans="1:7" x14ac:dyDescent="0.2">
      <c r="A139" t="s">
        <v>101</v>
      </c>
      <c r="C139" s="11" t="s">
        <v>9</v>
      </c>
      <c r="G139" s="39">
        <f>+G127</f>
        <v>63</v>
      </c>
    </row>
    <row r="140" spans="1:7" x14ac:dyDescent="0.2">
      <c r="A140" t="s">
        <v>102</v>
      </c>
      <c r="C140" s="11" t="s">
        <v>9</v>
      </c>
      <c r="G140" s="39">
        <f>+G138-G139</f>
        <v>14.141179760902546</v>
      </c>
    </row>
    <row r="141" spans="1:7" x14ac:dyDescent="0.2">
      <c r="A141" t="s">
        <v>103</v>
      </c>
      <c r="C141" s="11" t="s">
        <v>9</v>
      </c>
      <c r="G141" s="39">
        <f>+G139+G140</f>
        <v>77.141179760902546</v>
      </c>
    </row>
    <row r="142" spans="1:7" x14ac:dyDescent="0.2">
      <c r="A142" t="s">
        <v>104</v>
      </c>
      <c r="C142" s="11" t="s">
        <v>9</v>
      </c>
      <c r="G142" s="40">
        <f>+G138+G141</f>
        <v>154.28235952180509</v>
      </c>
    </row>
    <row r="143" spans="1:7" x14ac:dyDescent="0.2">
      <c r="G143" s="48"/>
    </row>
    <row r="144" spans="1:7" x14ac:dyDescent="0.2">
      <c r="A144" t="s">
        <v>105</v>
      </c>
      <c r="G144" s="49"/>
    </row>
    <row r="145" spans="1:22" x14ac:dyDescent="0.2">
      <c r="A145" t="s">
        <v>106</v>
      </c>
      <c r="C145" s="11" t="s">
        <v>9</v>
      </c>
      <c r="D145" s="50">
        <v>6</v>
      </c>
      <c r="E145" t="s">
        <v>107</v>
      </c>
      <c r="G145" s="51">
        <f>-D145/12*H157</f>
        <v>4.1020895743900692</v>
      </c>
    </row>
    <row r="146" spans="1:22" x14ac:dyDescent="0.2">
      <c r="A146" t="s">
        <v>108</v>
      </c>
      <c r="C146" s="11" t="s">
        <v>9</v>
      </c>
      <c r="D146" s="50">
        <v>6</v>
      </c>
      <c r="E146" t="s">
        <v>107</v>
      </c>
      <c r="G146" s="37">
        <f>+D146/12*I90</f>
        <v>1.8091762499999995</v>
      </c>
    </row>
    <row r="147" spans="1:22" x14ac:dyDescent="0.2">
      <c r="A147" t="s">
        <v>109</v>
      </c>
      <c r="C147" s="11" t="s">
        <v>9</v>
      </c>
      <c r="G147" s="37">
        <f>+G145+G146</f>
        <v>5.9112658243900684</v>
      </c>
    </row>
    <row r="148" spans="1:22" x14ac:dyDescent="0.2">
      <c r="G148" s="52"/>
    </row>
    <row r="149" spans="1:22" x14ac:dyDescent="0.2">
      <c r="A149" t="s">
        <v>110</v>
      </c>
      <c r="C149" s="11" t="s">
        <v>9</v>
      </c>
      <c r="G149" s="37">
        <f>+G141+G147</f>
        <v>83.052445585292617</v>
      </c>
    </row>
    <row r="151" spans="1:22" x14ac:dyDescent="0.2">
      <c r="A151" t="s">
        <v>111</v>
      </c>
      <c r="H151" s="53">
        <v>1</v>
      </c>
      <c r="I151" s="53">
        <f>+H151+1</f>
        <v>2</v>
      </c>
      <c r="J151" s="53">
        <f t="shared" ref="J151:M151" si="23">+I151+1</f>
        <v>3</v>
      </c>
      <c r="K151" s="53">
        <f t="shared" si="23"/>
        <v>4</v>
      </c>
      <c r="L151" s="53">
        <f t="shared" si="23"/>
        <v>5</v>
      </c>
      <c r="M151" s="53">
        <f t="shared" si="23"/>
        <v>6</v>
      </c>
      <c r="N151" s="53">
        <v>7</v>
      </c>
      <c r="O151" s="53">
        <v>8</v>
      </c>
      <c r="P151" s="53">
        <v>9</v>
      </c>
      <c r="Q151" s="53">
        <f t="shared" ref="Q151:S151" si="24">+P151+1</f>
        <v>10</v>
      </c>
      <c r="R151" s="53">
        <f t="shared" si="24"/>
        <v>11</v>
      </c>
      <c r="S151" s="53">
        <f t="shared" si="24"/>
        <v>12</v>
      </c>
      <c r="T151" s="53">
        <v>13</v>
      </c>
      <c r="U151" s="53">
        <v>14</v>
      </c>
      <c r="V151" s="53">
        <v>15</v>
      </c>
    </row>
    <row r="153" spans="1:22" x14ac:dyDescent="0.2">
      <c r="A153" t="s">
        <v>112</v>
      </c>
      <c r="C153" s="11" t="s">
        <v>9</v>
      </c>
      <c r="H153" s="37">
        <f>+G138</f>
        <v>77.141179760902546</v>
      </c>
      <c r="I153" s="51">
        <f>+H159</f>
        <v>73.951177296581079</v>
      </c>
      <c r="J153" s="51">
        <f t="shared" ref="J153:M153" si="25">+I159</f>
        <v>70.553824672078719</v>
      </c>
      <c r="K153" s="51">
        <f t="shared" si="25"/>
        <v>66.935644126983703</v>
      </c>
      <c r="L153" s="51">
        <f t="shared" si="25"/>
        <v>63.082281846457505</v>
      </c>
      <c r="M153" s="51">
        <f t="shared" si="25"/>
        <v>58.978451017697104</v>
      </c>
      <c r="N153" s="37">
        <f t="shared" ref="N153" si="26">+M138</f>
        <v>0</v>
      </c>
      <c r="O153" s="51">
        <f t="shared" ref="O153:S153" si="27">+N159</f>
        <v>-4.654667521750766</v>
      </c>
      <c r="P153" s="51">
        <f t="shared" si="27"/>
        <v>-9.6118884324153306</v>
      </c>
      <c r="Q153" s="51">
        <f t="shared" si="27"/>
        <v>-14.891328702273093</v>
      </c>
      <c r="R153" s="51">
        <f t="shared" si="27"/>
        <v>-20.513932589671612</v>
      </c>
      <c r="S153" s="51">
        <f t="shared" si="27"/>
        <v>-26.502005729751033</v>
      </c>
      <c r="T153" s="37">
        <f t="shared" ref="T153" si="28">+S138</f>
        <v>0</v>
      </c>
      <c r="U153" s="51">
        <f t="shared" ref="U153:V153" si="29">+T159</f>
        <v>-6.7918222573065803</v>
      </c>
      <c r="V153" s="51">
        <f t="shared" si="29"/>
        <v>-14.025112961338088</v>
      </c>
    </row>
    <row r="154" spans="1:22" x14ac:dyDescent="0.2">
      <c r="C154" s="11"/>
    </row>
    <row r="155" spans="1:22" x14ac:dyDescent="0.2">
      <c r="A155" t="s">
        <v>113</v>
      </c>
      <c r="C155" s="11" t="s">
        <v>9</v>
      </c>
      <c r="H155" s="51">
        <f>+PPMT($D$134,H151,$D$133,$G$138)</f>
        <v>-3.1900024643214722</v>
      </c>
      <c r="I155" s="51">
        <f t="shared" ref="I155:V155" si="30">+PPMT($D$134,I151,$D$133,$G$138)</f>
        <v>-3.3973526245023673</v>
      </c>
      <c r="J155" s="51">
        <f t="shared" si="30"/>
        <v>-3.6181805450950217</v>
      </c>
      <c r="K155" s="51">
        <f t="shared" si="30"/>
        <v>-3.853362280526198</v>
      </c>
      <c r="L155" s="51">
        <f t="shared" si="30"/>
        <v>-4.1038308287604011</v>
      </c>
      <c r="M155" s="51">
        <f t="shared" si="30"/>
        <v>-4.3705798326298266</v>
      </c>
      <c r="N155" s="51">
        <f t="shared" si="30"/>
        <v>-4.654667521750766</v>
      </c>
      <c r="O155" s="51">
        <f t="shared" si="30"/>
        <v>-4.9572209106645655</v>
      </c>
      <c r="P155" s="51">
        <f t="shared" si="30"/>
        <v>-5.2794402698577629</v>
      </c>
      <c r="Q155" s="51">
        <f t="shared" si="30"/>
        <v>-5.6226038873985171</v>
      </c>
      <c r="R155" s="51">
        <f t="shared" si="30"/>
        <v>-5.9880731400794209</v>
      </c>
      <c r="S155" s="51">
        <f t="shared" si="30"/>
        <v>-6.3772978941845828</v>
      </c>
      <c r="T155" s="51">
        <f t="shared" si="30"/>
        <v>-6.7918222573065803</v>
      </c>
      <c r="U155" s="51">
        <f t="shared" si="30"/>
        <v>-7.2332907040315089</v>
      </c>
      <c r="V155" s="51">
        <f t="shared" si="30"/>
        <v>-7.7034545997935568</v>
      </c>
    </row>
    <row r="156" spans="1:22" x14ac:dyDescent="0.2">
      <c r="A156" t="s">
        <v>114</v>
      </c>
      <c r="C156" s="11" t="s">
        <v>9</v>
      </c>
      <c r="H156" s="51">
        <f>+IPMT($D$134,H151,$D$133,$G$138)</f>
        <v>-5.0141766844586657</v>
      </c>
      <c r="I156" s="51">
        <f t="shared" ref="I156:V156" si="31">+IPMT($D$134,I151,$D$133,$G$138)</f>
        <v>-4.8068265242777706</v>
      </c>
      <c r="J156" s="51">
        <f t="shared" si="31"/>
        <v>-4.585998603685117</v>
      </c>
      <c r="K156" s="51">
        <f t="shared" si="31"/>
        <v>-4.3508168682539399</v>
      </c>
      <c r="L156" s="51">
        <f t="shared" si="31"/>
        <v>-4.1003483200197381</v>
      </c>
      <c r="M156" s="51">
        <f t="shared" si="31"/>
        <v>-3.8335993161503108</v>
      </c>
      <c r="N156" s="51">
        <f t="shared" si="31"/>
        <v>-3.5495116270293727</v>
      </c>
      <c r="O156" s="51">
        <f t="shared" si="31"/>
        <v>-3.2469582381155728</v>
      </c>
      <c r="P156" s="51">
        <f t="shared" si="31"/>
        <v>-2.9247388789223758</v>
      </c>
      <c r="Q156" s="51">
        <f t="shared" si="31"/>
        <v>-2.5815752613816216</v>
      </c>
      <c r="R156" s="51">
        <f t="shared" si="31"/>
        <v>-2.2161060087007174</v>
      </c>
      <c r="S156" s="51">
        <f t="shared" si="31"/>
        <v>-1.8268812545955553</v>
      </c>
      <c r="T156" s="51">
        <f t="shared" si="31"/>
        <v>-1.4123568914735576</v>
      </c>
      <c r="U156" s="51">
        <f t="shared" si="31"/>
        <v>-0.97088844474862945</v>
      </c>
      <c r="V156" s="51">
        <f t="shared" si="31"/>
        <v>-0.50072454898658125</v>
      </c>
    </row>
    <row r="157" spans="1:22" x14ac:dyDescent="0.2">
      <c r="A157" t="s">
        <v>115</v>
      </c>
      <c r="C157" s="11" t="s">
        <v>9</v>
      </c>
      <c r="H157" s="51">
        <f>SUM(H155:H156)</f>
        <v>-8.2041791487801383</v>
      </c>
      <c r="I157" s="51">
        <f t="shared" ref="I157:V157" si="32">SUM(I155:I156)</f>
        <v>-8.2041791487801383</v>
      </c>
      <c r="J157" s="51">
        <f t="shared" si="32"/>
        <v>-8.2041791487801383</v>
      </c>
      <c r="K157" s="51">
        <f t="shared" si="32"/>
        <v>-8.2041791487801383</v>
      </c>
      <c r="L157" s="51">
        <f t="shared" si="32"/>
        <v>-8.2041791487801383</v>
      </c>
      <c r="M157" s="51">
        <f t="shared" si="32"/>
        <v>-8.2041791487801383</v>
      </c>
      <c r="N157" s="51">
        <f t="shared" si="32"/>
        <v>-8.2041791487801383</v>
      </c>
      <c r="O157" s="51">
        <f t="shared" si="32"/>
        <v>-8.2041791487801383</v>
      </c>
      <c r="P157" s="51">
        <f t="shared" si="32"/>
        <v>-8.2041791487801383</v>
      </c>
      <c r="Q157" s="51">
        <f t="shared" si="32"/>
        <v>-8.2041791487801383</v>
      </c>
      <c r="R157" s="51">
        <f t="shared" si="32"/>
        <v>-8.2041791487801383</v>
      </c>
      <c r="S157" s="51">
        <f t="shared" si="32"/>
        <v>-8.2041791487801383</v>
      </c>
      <c r="T157" s="51">
        <f t="shared" si="32"/>
        <v>-8.2041791487801383</v>
      </c>
      <c r="U157" s="51">
        <f t="shared" si="32"/>
        <v>-8.2041791487801383</v>
      </c>
      <c r="V157" s="51">
        <f t="shared" si="32"/>
        <v>-8.2041791487801383</v>
      </c>
    </row>
    <row r="159" spans="1:22" x14ac:dyDescent="0.2">
      <c r="A159" t="s">
        <v>116</v>
      </c>
      <c r="C159" s="11" t="s">
        <v>9</v>
      </c>
      <c r="H159" s="51">
        <f>+G138+H155</f>
        <v>73.951177296581079</v>
      </c>
      <c r="I159" s="51">
        <f>+H159+I155</f>
        <v>70.553824672078719</v>
      </c>
      <c r="J159" s="51">
        <f t="shared" ref="J159:M159" si="33">+I159+J155</f>
        <v>66.935644126983703</v>
      </c>
      <c r="K159" s="51">
        <f t="shared" si="33"/>
        <v>63.082281846457505</v>
      </c>
      <c r="L159" s="51">
        <f t="shared" si="33"/>
        <v>58.978451017697104</v>
      </c>
      <c r="M159" s="51">
        <f t="shared" si="33"/>
        <v>54.607871185067275</v>
      </c>
      <c r="N159" s="51">
        <f t="shared" ref="N159" si="34">+M138+N155</f>
        <v>-4.654667521750766</v>
      </c>
      <c r="O159" s="51">
        <f t="shared" ref="O159:S159" si="35">+N159+O155</f>
        <v>-9.6118884324153306</v>
      </c>
      <c r="P159" s="51">
        <f t="shared" si="35"/>
        <v>-14.891328702273093</v>
      </c>
      <c r="Q159" s="51">
        <f t="shared" si="35"/>
        <v>-20.513932589671612</v>
      </c>
      <c r="R159" s="51">
        <f t="shared" si="35"/>
        <v>-26.502005729751033</v>
      </c>
      <c r="S159" s="51">
        <f t="shared" si="35"/>
        <v>-32.879303623935613</v>
      </c>
      <c r="T159" s="51">
        <f t="shared" ref="T159" si="36">+S138+T155</f>
        <v>-6.7918222573065803</v>
      </c>
      <c r="U159" s="51">
        <f t="shared" ref="U159:V159" si="37">+T159+U155</f>
        <v>-14.025112961338088</v>
      </c>
      <c r="V159" s="51">
        <f t="shared" si="37"/>
        <v>-21.728567561131644</v>
      </c>
    </row>
    <row r="161" spans="1:32" x14ac:dyDescent="0.2">
      <c r="A161" t="s">
        <v>74</v>
      </c>
      <c r="C161" s="11" t="s">
        <v>9</v>
      </c>
      <c r="H161" s="40">
        <f t="shared" ref="H161:V161" si="38">+I92</f>
        <v>18.73268793488068</v>
      </c>
      <c r="I161" s="40">
        <f t="shared" si="38"/>
        <v>19.2010051332527</v>
      </c>
      <c r="J161" s="40">
        <f t="shared" si="38"/>
        <v>19.68103026158402</v>
      </c>
      <c r="K161" s="40">
        <f t="shared" si="38"/>
        <v>20.173056018123614</v>
      </c>
      <c r="L161" s="40">
        <f t="shared" si="38"/>
        <v>20.677382418576705</v>
      </c>
      <c r="M161" s="40">
        <f t="shared" si="38"/>
        <v>21.194316979041126</v>
      </c>
      <c r="N161" s="40">
        <f t="shared" si="38"/>
        <v>21.724174903517149</v>
      </c>
      <c r="O161" s="40">
        <f t="shared" si="38"/>
        <v>22.267279276105075</v>
      </c>
      <c r="P161" s="40">
        <f t="shared" si="38"/>
        <v>22.823961258007703</v>
      </c>
      <c r="Q161" s="40">
        <f t="shared" si="38"/>
        <v>23.394560289457893</v>
      </c>
      <c r="R161" s="40">
        <f t="shared" si="38"/>
        <v>23.979424296694337</v>
      </c>
      <c r="S161" s="40">
        <f t="shared" si="38"/>
        <v>24.578909904111697</v>
      </c>
      <c r="T161" s="40">
        <f t="shared" si="38"/>
        <v>25.193382651714487</v>
      </c>
      <c r="U161" s="40">
        <f t="shared" si="38"/>
        <v>25.823217218007347</v>
      </c>
      <c r="V161" s="40">
        <f t="shared" si="38"/>
        <v>26.468797648457524</v>
      </c>
    </row>
    <row r="163" spans="1:32" x14ac:dyDescent="0.2">
      <c r="A163" t="s">
        <v>117</v>
      </c>
      <c r="C163" s="11" t="s">
        <v>118</v>
      </c>
      <c r="H163" s="54">
        <f>-H161/H157</f>
        <v>2.2833104440029204</v>
      </c>
      <c r="I163" s="54">
        <f t="shared" ref="I163:V163" si="39">-I161/I157</f>
        <v>2.3403932051029939</v>
      </c>
      <c r="J163" s="54">
        <f t="shared" si="39"/>
        <v>2.3989030352305689</v>
      </c>
      <c r="K163" s="54">
        <f t="shared" si="39"/>
        <v>2.4588756111113326</v>
      </c>
      <c r="L163" s="54">
        <f t="shared" si="39"/>
        <v>2.5203475013891161</v>
      </c>
      <c r="M163" s="54">
        <f t="shared" si="39"/>
        <v>2.5833561889238443</v>
      </c>
      <c r="N163" s="54">
        <f t="shared" si="39"/>
        <v>2.6479400936469397</v>
      </c>
      <c r="O163" s="54">
        <f t="shared" si="39"/>
        <v>2.7141385959881128</v>
      </c>
      <c r="P163" s="54">
        <f t="shared" si="39"/>
        <v>2.7819920608878159</v>
      </c>
      <c r="Q163" s="54">
        <f t="shared" si="39"/>
        <v>2.8515418624100106</v>
      </c>
      <c r="R163" s="54">
        <f t="shared" si="39"/>
        <v>2.9228304089702606</v>
      </c>
      <c r="S163" s="54">
        <f t="shared" si="39"/>
        <v>2.9959011691945174</v>
      </c>
      <c r="T163" s="54">
        <f t="shared" si="39"/>
        <v>3.07079869842438</v>
      </c>
      <c r="U163" s="54">
        <f t="shared" si="39"/>
        <v>3.1475686658849891</v>
      </c>
      <c r="V163" s="54">
        <f t="shared" si="39"/>
        <v>3.2262578825321131</v>
      </c>
    </row>
    <row r="165" spans="1:32" x14ac:dyDescent="0.2">
      <c r="B165" s="11" t="s">
        <v>119</v>
      </c>
      <c r="C165" s="11" t="s">
        <v>120</v>
      </c>
    </row>
    <row r="166" spans="1:32" x14ac:dyDescent="0.2">
      <c r="B166" s="55">
        <f>+MIN(H163:V163)</f>
        <v>2.2833104440029204</v>
      </c>
      <c r="C166" s="55">
        <f>+AVERAGE(H163:V163)</f>
        <v>2.7296103615799945</v>
      </c>
    </row>
    <row r="168" spans="1:32" x14ac:dyDescent="0.2">
      <c r="A168" s="1" t="s">
        <v>121</v>
      </c>
    </row>
    <row r="170" spans="1:32" x14ac:dyDescent="0.2">
      <c r="A170" t="s">
        <v>59</v>
      </c>
      <c r="H170">
        <v>1</v>
      </c>
      <c r="I170">
        <v>2</v>
      </c>
      <c r="J170">
        <v>3</v>
      </c>
      <c r="K170">
        <v>4</v>
      </c>
      <c r="L170">
        <v>5</v>
      </c>
      <c r="M170">
        <v>6</v>
      </c>
      <c r="N170">
        <v>7</v>
      </c>
      <c r="O170">
        <v>8</v>
      </c>
      <c r="P170">
        <v>9</v>
      </c>
      <c r="Q170">
        <v>10</v>
      </c>
      <c r="R170">
        <v>11</v>
      </c>
      <c r="S170">
        <v>12</v>
      </c>
      <c r="T170">
        <v>13</v>
      </c>
      <c r="U170">
        <v>14</v>
      </c>
      <c r="V170">
        <v>15</v>
      </c>
      <c r="W170">
        <v>16</v>
      </c>
      <c r="X170">
        <v>17</v>
      </c>
      <c r="Y170">
        <v>18</v>
      </c>
      <c r="Z170">
        <v>19</v>
      </c>
      <c r="AA170">
        <v>20</v>
      </c>
      <c r="AB170">
        <v>21</v>
      </c>
      <c r="AC170">
        <v>22</v>
      </c>
      <c r="AD170">
        <v>23</v>
      </c>
      <c r="AE170">
        <v>24</v>
      </c>
      <c r="AF170">
        <v>25</v>
      </c>
    </row>
    <row r="171" spans="1:32" x14ac:dyDescent="0.2">
      <c r="A171" t="s">
        <v>122</v>
      </c>
      <c r="E171">
        <v>1</v>
      </c>
      <c r="F171">
        <v>2</v>
      </c>
      <c r="G171">
        <v>3</v>
      </c>
    </row>
    <row r="173" spans="1:32" x14ac:dyDescent="0.2">
      <c r="A173" t="s">
        <v>74</v>
      </c>
      <c r="C173" s="11" t="s">
        <v>9</v>
      </c>
      <c r="E173" s="32"/>
      <c r="F173" s="32"/>
      <c r="G173" s="32"/>
      <c r="H173" s="33">
        <f t="shared" ref="H173:AF173" si="40">+I92</f>
        <v>18.73268793488068</v>
      </c>
      <c r="I173" s="33">
        <f t="shared" si="40"/>
        <v>19.2010051332527</v>
      </c>
      <c r="J173" s="33">
        <f t="shared" si="40"/>
        <v>19.68103026158402</v>
      </c>
      <c r="K173" s="33">
        <f t="shared" si="40"/>
        <v>20.173056018123614</v>
      </c>
      <c r="L173" s="33">
        <f t="shared" si="40"/>
        <v>20.677382418576705</v>
      </c>
      <c r="M173" s="33">
        <f t="shared" si="40"/>
        <v>21.194316979041126</v>
      </c>
      <c r="N173" s="33">
        <f t="shared" si="40"/>
        <v>21.724174903517149</v>
      </c>
      <c r="O173" s="33">
        <f t="shared" si="40"/>
        <v>22.267279276105075</v>
      </c>
      <c r="P173" s="33">
        <f t="shared" si="40"/>
        <v>22.823961258007703</v>
      </c>
      <c r="Q173" s="33">
        <f t="shared" si="40"/>
        <v>23.394560289457893</v>
      </c>
      <c r="R173" s="33">
        <f t="shared" si="40"/>
        <v>23.979424296694337</v>
      </c>
      <c r="S173" s="33">
        <f t="shared" si="40"/>
        <v>24.578909904111697</v>
      </c>
      <c r="T173" s="33">
        <f t="shared" si="40"/>
        <v>25.193382651714487</v>
      </c>
      <c r="U173" s="33">
        <f t="shared" si="40"/>
        <v>25.823217218007347</v>
      </c>
      <c r="V173" s="33">
        <f t="shared" si="40"/>
        <v>26.468797648457524</v>
      </c>
      <c r="W173" s="33">
        <f t="shared" si="40"/>
        <v>27.130517589668962</v>
      </c>
      <c r="X173" s="33">
        <f t="shared" si="40"/>
        <v>27.808780529410679</v>
      </c>
      <c r="Y173" s="33">
        <f t="shared" si="40"/>
        <v>28.504000042645949</v>
      </c>
      <c r="Z173" s="33">
        <f t="shared" si="40"/>
        <v>29.216600043712099</v>
      </c>
      <c r="AA173" s="33">
        <f t="shared" si="40"/>
        <v>29.947015044804889</v>
      </c>
      <c r="AB173" s="33">
        <f t="shared" si="40"/>
        <v>30.695690420925018</v>
      </c>
      <c r="AC173" s="33">
        <f t="shared" si="40"/>
        <v>31.463082681448135</v>
      </c>
      <c r="AD173" s="33">
        <f t="shared" si="40"/>
        <v>32.249659748484333</v>
      </c>
      <c r="AE173" s="33">
        <f t="shared" si="40"/>
        <v>33.055901242196448</v>
      </c>
      <c r="AF173" s="33">
        <f t="shared" si="40"/>
        <v>33.882298773251357</v>
      </c>
    </row>
    <row r="174" spans="1:32" x14ac:dyDescent="0.2">
      <c r="A174" t="s">
        <v>123</v>
      </c>
      <c r="C174" s="11" t="s">
        <v>9</v>
      </c>
      <c r="E174" s="32"/>
      <c r="F174" s="32"/>
      <c r="G174" s="32"/>
      <c r="H174" s="56">
        <f>+H157</f>
        <v>-8.2041791487801383</v>
      </c>
      <c r="I174" s="56">
        <f t="shared" ref="I174:AF174" si="41">+I157</f>
        <v>-8.2041791487801383</v>
      </c>
      <c r="J174" s="56">
        <f t="shared" si="41"/>
        <v>-8.2041791487801383</v>
      </c>
      <c r="K174" s="56">
        <f t="shared" si="41"/>
        <v>-8.2041791487801383</v>
      </c>
      <c r="L174" s="56">
        <f t="shared" si="41"/>
        <v>-8.2041791487801383</v>
      </c>
      <c r="M174" s="56">
        <f t="shared" si="41"/>
        <v>-8.2041791487801383</v>
      </c>
      <c r="N174" s="56">
        <f t="shared" si="41"/>
        <v>-8.2041791487801383</v>
      </c>
      <c r="O174" s="56">
        <f t="shared" si="41"/>
        <v>-8.2041791487801383</v>
      </c>
      <c r="P174" s="56">
        <f t="shared" si="41"/>
        <v>-8.2041791487801383</v>
      </c>
      <c r="Q174" s="56">
        <f t="shared" si="41"/>
        <v>-8.2041791487801383</v>
      </c>
      <c r="R174" s="56">
        <f t="shared" si="41"/>
        <v>-8.2041791487801383</v>
      </c>
      <c r="S174" s="56">
        <f t="shared" si="41"/>
        <v>-8.2041791487801383</v>
      </c>
      <c r="T174" s="56">
        <f t="shared" si="41"/>
        <v>-8.2041791487801383</v>
      </c>
      <c r="U174" s="56">
        <f t="shared" si="41"/>
        <v>-8.2041791487801383</v>
      </c>
      <c r="V174" s="56">
        <f t="shared" si="41"/>
        <v>-8.2041791487801383</v>
      </c>
      <c r="W174" s="56">
        <f t="shared" si="41"/>
        <v>0</v>
      </c>
      <c r="X174" s="56">
        <f t="shared" si="41"/>
        <v>0</v>
      </c>
      <c r="Y174" s="56">
        <f t="shared" si="41"/>
        <v>0</v>
      </c>
      <c r="Z174" s="56">
        <f t="shared" si="41"/>
        <v>0</v>
      </c>
      <c r="AA174" s="56">
        <f t="shared" si="41"/>
        <v>0</v>
      </c>
      <c r="AB174" s="56">
        <f t="shared" si="41"/>
        <v>0</v>
      </c>
      <c r="AC174" s="56">
        <f t="shared" si="41"/>
        <v>0</v>
      </c>
      <c r="AD174" s="56">
        <f t="shared" si="41"/>
        <v>0</v>
      </c>
      <c r="AE174" s="56">
        <f t="shared" si="41"/>
        <v>0</v>
      </c>
      <c r="AF174" s="56">
        <f t="shared" si="41"/>
        <v>0</v>
      </c>
    </row>
    <row r="175" spans="1:32" x14ac:dyDescent="0.2">
      <c r="A175" t="s">
        <v>124</v>
      </c>
      <c r="C175" s="11" t="s">
        <v>9</v>
      </c>
      <c r="E175" s="57">
        <f>-E122</f>
        <v>-6.3000000000000007</v>
      </c>
      <c r="F175" s="57">
        <f t="shared" ref="F175:AF175" si="42">-F122</f>
        <v>-25.200000000000003</v>
      </c>
      <c r="G175" s="57">
        <f>-G122-G147-G140</f>
        <v>-51.552445585292617</v>
      </c>
      <c r="H175" s="57">
        <f t="shared" si="42"/>
        <v>0</v>
      </c>
      <c r="I175" s="57">
        <f t="shared" si="42"/>
        <v>0</v>
      </c>
      <c r="J175" s="57">
        <f t="shared" si="42"/>
        <v>0</v>
      </c>
      <c r="K175" s="57">
        <f t="shared" si="42"/>
        <v>0</v>
      </c>
      <c r="L175" s="57">
        <f t="shared" si="42"/>
        <v>0</v>
      </c>
      <c r="M175" s="57">
        <f t="shared" si="42"/>
        <v>0</v>
      </c>
      <c r="N175" s="57">
        <f t="shared" si="42"/>
        <v>0</v>
      </c>
      <c r="O175" s="57">
        <f t="shared" si="42"/>
        <v>0</v>
      </c>
      <c r="P175" s="57">
        <f t="shared" si="42"/>
        <v>0</v>
      </c>
      <c r="Q175" s="57">
        <f t="shared" si="42"/>
        <v>0</v>
      </c>
      <c r="R175" s="57">
        <f t="shared" si="42"/>
        <v>0</v>
      </c>
      <c r="S175" s="57">
        <f t="shared" si="42"/>
        <v>0</v>
      </c>
      <c r="T175" s="57">
        <f t="shared" si="42"/>
        <v>0</v>
      </c>
      <c r="U175" s="57">
        <f t="shared" si="42"/>
        <v>0</v>
      </c>
      <c r="V175" s="57">
        <f t="shared" si="42"/>
        <v>0</v>
      </c>
      <c r="W175" s="57">
        <f t="shared" si="42"/>
        <v>0</v>
      </c>
      <c r="X175" s="57">
        <f t="shared" si="42"/>
        <v>0</v>
      </c>
      <c r="Y175" s="57">
        <f t="shared" si="42"/>
        <v>0</v>
      </c>
      <c r="Z175" s="57">
        <f t="shared" si="42"/>
        <v>0</v>
      </c>
      <c r="AA175" s="57">
        <f t="shared" si="42"/>
        <v>0</v>
      </c>
      <c r="AB175" s="57">
        <f t="shared" si="42"/>
        <v>0</v>
      </c>
      <c r="AC175" s="57">
        <f t="shared" si="42"/>
        <v>0</v>
      </c>
      <c r="AD175" s="57">
        <f t="shared" si="42"/>
        <v>0</v>
      </c>
      <c r="AE175" s="57">
        <f t="shared" si="42"/>
        <v>0</v>
      </c>
      <c r="AF175" s="57">
        <f t="shared" si="42"/>
        <v>0</v>
      </c>
    </row>
    <row r="176" spans="1:32" x14ac:dyDescent="0.2">
      <c r="A176" t="s">
        <v>121</v>
      </c>
      <c r="C176" s="11" t="s">
        <v>9</v>
      </c>
      <c r="E176" s="57">
        <f>SUM(E175)</f>
        <v>-6.3000000000000007</v>
      </c>
      <c r="F176" s="57">
        <f t="shared" ref="F176:G176" si="43">SUM(F175)</f>
        <v>-25.200000000000003</v>
      </c>
      <c r="G176" s="57">
        <f t="shared" si="43"/>
        <v>-51.552445585292617</v>
      </c>
      <c r="H176" s="57">
        <f>SUM(H173:H175)</f>
        <v>10.528508786100542</v>
      </c>
      <c r="I176" s="57">
        <f t="shared" ref="I176:AF176" si="44">SUM(I173:I175)</f>
        <v>10.996825984472562</v>
      </c>
      <c r="J176" s="57">
        <f t="shared" si="44"/>
        <v>11.476851112803882</v>
      </c>
      <c r="K176" s="57">
        <f t="shared" si="44"/>
        <v>11.968876869343475</v>
      </c>
      <c r="L176" s="57">
        <f t="shared" si="44"/>
        <v>12.473203269796567</v>
      </c>
      <c r="M176" s="57">
        <f t="shared" si="44"/>
        <v>12.990137830260988</v>
      </c>
      <c r="N176" s="57">
        <f t="shared" si="44"/>
        <v>13.51999575473701</v>
      </c>
      <c r="O176" s="57">
        <f t="shared" si="44"/>
        <v>14.063100127324937</v>
      </c>
      <c r="P176" s="57">
        <f t="shared" si="44"/>
        <v>14.619782109227565</v>
      </c>
      <c r="Q176" s="57">
        <f t="shared" si="44"/>
        <v>15.190381140677754</v>
      </c>
      <c r="R176" s="57">
        <f t="shared" si="44"/>
        <v>15.775245147914198</v>
      </c>
      <c r="S176" s="57">
        <f t="shared" si="44"/>
        <v>16.374730755331559</v>
      </c>
      <c r="T176" s="57">
        <f t="shared" si="44"/>
        <v>16.989203502934348</v>
      </c>
      <c r="U176" s="57">
        <f t="shared" si="44"/>
        <v>17.619038069227209</v>
      </c>
      <c r="V176" s="57">
        <f t="shared" si="44"/>
        <v>18.264618499677386</v>
      </c>
      <c r="W176" s="57">
        <f t="shared" si="44"/>
        <v>27.130517589668962</v>
      </c>
      <c r="X176" s="57">
        <f t="shared" si="44"/>
        <v>27.808780529410679</v>
      </c>
      <c r="Y176" s="57">
        <f t="shared" si="44"/>
        <v>28.504000042645949</v>
      </c>
      <c r="Z176" s="57">
        <f t="shared" si="44"/>
        <v>29.216600043712099</v>
      </c>
      <c r="AA176" s="57">
        <f t="shared" si="44"/>
        <v>29.947015044804889</v>
      </c>
      <c r="AB176" s="57">
        <f t="shared" si="44"/>
        <v>30.695690420925018</v>
      </c>
      <c r="AC176" s="57">
        <f t="shared" si="44"/>
        <v>31.463082681448135</v>
      </c>
      <c r="AD176" s="57">
        <f t="shared" si="44"/>
        <v>32.249659748484333</v>
      </c>
      <c r="AE176" s="57">
        <f t="shared" si="44"/>
        <v>33.055901242196448</v>
      </c>
      <c r="AF176" s="57">
        <f t="shared" si="44"/>
        <v>33.882298773251357</v>
      </c>
    </row>
    <row r="177" spans="1:23" x14ac:dyDescent="0.2">
      <c r="C177" s="11"/>
    </row>
    <row r="178" spans="1:23" x14ac:dyDescent="0.2">
      <c r="A178" t="s">
        <v>125</v>
      </c>
      <c r="C178" s="11" t="s">
        <v>16</v>
      </c>
      <c r="E178" s="58">
        <f>+IRR(E176:AF176)</f>
        <v>0.15630058959501558</v>
      </c>
    </row>
    <row r="179" spans="1:23" x14ac:dyDescent="0.2">
      <c r="A179" t="s">
        <v>126</v>
      </c>
      <c r="C179" s="11" t="s">
        <v>9</v>
      </c>
      <c r="E179" s="43">
        <f>+NPV(0.1,E176:AF176)</f>
        <v>43.376168282557138</v>
      </c>
    </row>
    <row r="180" spans="1:23" x14ac:dyDescent="0.2">
      <c r="C180" s="11"/>
    </row>
    <row r="181" spans="1:23" x14ac:dyDescent="0.2">
      <c r="A181" s="1" t="s">
        <v>127</v>
      </c>
      <c r="C181" s="11"/>
    </row>
    <row r="182" spans="1:23" x14ac:dyDescent="0.2">
      <c r="A182" s="1"/>
      <c r="C182" s="11"/>
    </row>
    <row r="183" spans="1:23" x14ac:dyDescent="0.2">
      <c r="A183" s="1" t="s">
        <v>128</v>
      </c>
      <c r="C183" s="11"/>
    </row>
    <row r="184" spans="1:23" x14ac:dyDescent="0.2">
      <c r="A184" t="s">
        <v>129</v>
      </c>
      <c r="C184" s="11" t="s">
        <v>9</v>
      </c>
      <c r="G184" s="59">
        <f>+G142</f>
        <v>154.28235952180509</v>
      </c>
    </row>
    <row r="185" spans="1:23" x14ac:dyDescent="0.2">
      <c r="A185" t="s">
        <v>130</v>
      </c>
      <c r="C185" s="11" t="s">
        <v>9</v>
      </c>
      <c r="G185" s="59">
        <f>(-23.31)</f>
        <v>-23.31</v>
      </c>
    </row>
    <row r="186" spans="1:23" x14ac:dyDescent="0.2">
      <c r="A186" t="s">
        <v>131</v>
      </c>
      <c r="C186" s="11" t="s">
        <v>9</v>
      </c>
      <c r="G186" s="59">
        <f>SUM(G184:G185)</f>
        <v>130.97235952180509</v>
      </c>
    </row>
    <row r="187" spans="1:23" x14ac:dyDescent="0.2">
      <c r="A187" s="1"/>
      <c r="C187" s="11"/>
    </row>
    <row r="188" spans="1:23" x14ac:dyDescent="0.2">
      <c r="A188" s="1" t="s">
        <v>21</v>
      </c>
      <c r="C188" s="11"/>
    </row>
    <row r="189" spans="1:23" x14ac:dyDescent="0.2">
      <c r="A189" s="1" t="s">
        <v>22</v>
      </c>
      <c r="C189" s="11"/>
    </row>
    <row r="190" spans="1:23" x14ac:dyDescent="0.2">
      <c r="A190" s="1"/>
      <c r="C190" s="11"/>
    </row>
    <row r="191" spans="1:23" x14ac:dyDescent="0.2">
      <c r="A191" t="s">
        <v>132</v>
      </c>
      <c r="C191" s="11"/>
      <c r="E191" t="s">
        <v>21</v>
      </c>
      <c r="F191" s="1"/>
      <c r="H191" s="11">
        <v>1</v>
      </c>
      <c r="I191" s="11">
        <f>+H191+1</f>
        <v>2</v>
      </c>
      <c r="J191" s="11">
        <f t="shared" ref="J191:M191" si="45">+I191+1</f>
        <v>3</v>
      </c>
      <c r="K191" s="11">
        <f t="shared" si="45"/>
        <v>4</v>
      </c>
      <c r="L191" s="11">
        <f t="shared" si="45"/>
        <v>5</v>
      </c>
      <c r="M191" s="11">
        <f t="shared" si="45"/>
        <v>6</v>
      </c>
      <c r="N191" s="11">
        <v>7</v>
      </c>
      <c r="O191" s="11">
        <v>8</v>
      </c>
      <c r="P191" s="11">
        <v>9</v>
      </c>
      <c r="Q191" s="11">
        <v>10</v>
      </c>
      <c r="R191" s="11">
        <v>11</v>
      </c>
      <c r="S191" s="11">
        <v>12</v>
      </c>
      <c r="T191" s="11">
        <v>13</v>
      </c>
      <c r="U191" s="11">
        <v>14</v>
      </c>
      <c r="V191" s="11">
        <v>15</v>
      </c>
      <c r="W191" s="11">
        <v>16</v>
      </c>
    </row>
    <row r="192" spans="1:23" x14ac:dyDescent="0.2">
      <c r="C192" s="11"/>
    </row>
    <row r="193" spans="1:32" x14ac:dyDescent="0.2">
      <c r="A193" t="s">
        <v>128</v>
      </c>
      <c r="C193" s="11" t="s">
        <v>9</v>
      </c>
      <c r="H193" s="59">
        <f>+$G$186</f>
        <v>130.97235952180509</v>
      </c>
      <c r="I193" s="59">
        <f t="shared" ref="I193:M193" si="46">+$G$186</f>
        <v>130.97235952180509</v>
      </c>
      <c r="J193" s="59">
        <f t="shared" si="46"/>
        <v>130.97235952180509</v>
      </c>
      <c r="K193" s="59">
        <f t="shared" si="46"/>
        <v>130.97235952180509</v>
      </c>
      <c r="L193" s="59">
        <f t="shared" si="46"/>
        <v>130.97235952180509</v>
      </c>
      <c r="M193" s="59">
        <f t="shared" si="46"/>
        <v>130.97235952180509</v>
      </c>
      <c r="N193" s="59"/>
      <c r="O193" s="59"/>
      <c r="P193" s="59"/>
      <c r="Q193" s="59"/>
      <c r="R193" s="59"/>
      <c r="S193" s="59"/>
      <c r="T193" s="59"/>
      <c r="U193" s="59"/>
      <c r="V193" s="59"/>
      <c r="W193" s="59"/>
    </row>
    <row r="194" spans="1:32" x14ac:dyDescent="0.2">
      <c r="A194" t="s">
        <v>133</v>
      </c>
      <c r="C194" s="11" t="s">
        <v>9</v>
      </c>
      <c r="H194" s="60">
        <f>+H21</f>
        <v>0.2</v>
      </c>
      <c r="I194" s="60">
        <f t="shared" ref="I194:M194" si="47">+I21</f>
        <v>0.32</v>
      </c>
      <c r="J194" s="60">
        <f t="shared" si="47"/>
        <v>0.192</v>
      </c>
      <c r="K194" s="60">
        <f t="shared" si="47"/>
        <v>0.1152</v>
      </c>
      <c r="L194" s="60">
        <f t="shared" si="47"/>
        <v>0.1152</v>
      </c>
      <c r="M194" s="60">
        <f t="shared" si="47"/>
        <v>5.7599999999999998E-2</v>
      </c>
      <c r="N194" s="60"/>
      <c r="O194" s="60"/>
      <c r="P194" s="60"/>
      <c r="Q194" s="60"/>
      <c r="R194" s="60"/>
      <c r="S194" s="60"/>
      <c r="T194" s="60"/>
      <c r="U194" s="60"/>
      <c r="V194" s="60"/>
      <c r="W194" s="60"/>
    </row>
    <row r="195" spans="1:32" x14ac:dyDescent="0.2">
      <c r="A195" t="s">
        <v>22</v>
      </c>
      <c r="C195" s="11" t="s">
        <v>9</v>
      </c>
      <c r="H195" s="35">
        <f>+H193*H194</f>
        <v>26.19447190436102</v>
      </c>
      <c r="I195" s="35">
        <f t="shared" ref="I195:M195" si="48">+I193*I194</f>
        <v>41.911155046977626</v>
      </c>
      <c r="J195" s="35">
        <f t="shared" si="48"/>
        <v>25.146693028186579</v>
      </c>
      <c r="K195" s="35">
        <f t="shared" si="48"/>
        <v>15.088015816911946</v>
      </c>
      <c r="L195" s="35">
        <f t="shared" si="48"/>
        <v>15.088015816911946</v>
      </c>
      <c r="M195" s="35">
        <f t="shared" si="48"/>
        <v>7.5440079084559732</v>
      </c>
      <c r="N195" s="35"/>
      <c r="O195" s="35"/>
      <c r="P195" s="35"/>
      <c r="Q195" s="35"/>
      <c r="R195" s="35"/>
      <c r="S195" s="35"/>
      <c r="T195" s="35"/>
      <c r="U195" s="35"/>
      <c r="V195" s="35"/>
      <c r="W195" s="35"/>
    </row>
    <row r="196" spans="1:32" x14ac:dyDescent="0.2">
      <c r="C196" s="11"/>
    </row>
    <row r="197" spans="1:32" x14ac:dyDescent="0.2">
      <c r="A197" t="s">
        <v>134</v>
      </c>
      <c r="C197" s="11"/>
      <c r="H197" s="37">
        <f>+H195</f>
        <v>26.19447190436102</v>
      </c>
      <c r="I197" s="37">
        <f>+H197+I195</f>
        <v>68.10562695133865</v>
      </c>
      <c r="J197" s="37">
        <f t="shared" ref="J197:M197" si="49">+I197+J195</f>
        <v>93.252319979525225</v>
      </c>
      <c r="K197" s="37">
        <f t="shared" si="49"/>
        <v>108.34033579643717</v>
      </c>
      <c r="L197" s="37">
        <f t="shared" si="49"/>
        <v>123.42835161334912</v>
      </c>
      <c r="M197" s="37">
        <f t="shared" si="49"/>
        <v>130.97235952180509</v>
      </c>
      <c r="N197" s="37"/>
      <c r="O197" s="37"/>
      <c r="P197" s="37"/>
      <c r="Q197" s="37"/>
      <c r="R197" s="37"/>
      <c r="S197" s="37"/>
      <c r="T197" s="37"/>
      <c r="U197" s="37"/>
      <c r="V197" s="37"/>
      <c r="W197" s="37"/>
    </row>
    <row r="198" spans="1:32" x14ac:dyDescent="0.2">
      <c r="C198" s="11"/>
    </row>
    <row r="199" spans="1:32" x14ac:dyDescent="0.2">
      <c r="A199" t="s">
        <v>135</v>
      </c>
      <c r="C199" s="11" t="s">
        <v>9</v>
      </c>
      <c r="H199" s="59">
        <f>+H193-H197</f>
        <v>104.77788761744407</v>
      </c>
      <c r="I199" s="59">
        <f t="shared" ref="I199:M199" si="50">+I193-I197</f>
        <v>62.866732570466439</v>
      </c>
      <c r="J199" s="59">
        <f t="shared" si="50"/>
        <v>37.720039542279864</v>
      </c>
      <c r="K199" s="59">
        <f t="shared" si="50"/>
        <v>22.632023725367915</v>
      </c>
      <c r="L199" s="59">
        <f t="shared" si="50"/>
        <v>7.544007908455967</v>
      </c>
      <c r="M199" s="59">
        <f t="shared" si="50"/>
        <v>0</v>
      </c>
      <c r="N199" s="59"/>
      <c r="O199" s="59"/>
      <c r="P199" s="59"/>
      <c r="Q199" s="59"/>
      <c r="R199" s="59"/>
      <c r="S199" s="59"/>
      <c r="T199" s="59"/>
      <c r="U199" s="59"/>
      <c r="V199" s="59"/>
      <c r="W199" s="59"/>
    </row>
    <row r="200" spans="1:32" x14ac:dyDescent="0.2">
      <c r="C200" s="11"/>
    </row>
    <row r="201" spans="1:32" x14ac:dyDescent="0.2">
      <c r="C201" s="11"/>
    </row>
    <row r="202" spans="1:32" x14ac:dyDescent="0.2">
      <c r="C202" s="11"/>
    </row>
    <row r="203" spans="1:32" x14ac:dyDescent="0.2">
      <c r="A203" s="27" t="s">
        <v>136</v>
      </c>
      <c r="C203" s="11"/>
      <c r="E203">
        <f>+E71</f>
        <v>2025</v>
      </c>
      <c r="F203">
        <f>+E203+1</f>
        <v>2026</v>
      </c>
      <c r="G203">
        <f t="shared" ref="G203:M203" si="51">+F203+1</f>
        <v>2027</v>
      </c>
      <c r="H203">
        <f t="shared" si="51"/>
        <v>2028</v>
      </c>
      <c r="I203">
        <f t="shared" si="51"/>
        <v>2029</v>
      </c>
      <c r="J203">
        <f t="shared" si="51"/>
        <v>2030</v>
      </c>
      <c r="K203">
        <f t="shared" si="51"/>
        <v>2031</v>
      </c>
      <c r="L203">
        <f t="shared" si="51"/>
        <v>2032</v>
      </c>
      <c r="M203">
        <f t="shared" si="51"/>
        <v>2033</v>
      </c>
      <c r="N203">
        <v>2034</v>
      </c>
      <c r="O203">
        <f t="shared" ref="O203:R203" si="52">+N203+1</f>
        <v>2035</v>
      </c>
      <c r="P203">
        <f t="shared" si="52"/>
        <v>2036</v>
      </c>
      <c r="Q203">
        <f t="shared" si="52"/>
        <v>2037</v>
      </c>
      <c r="R203">
        <f t="shared" si="52"/>
        <v>2038</v>
      </c>
      <c r="S203">
        <v>2035</v>
      </c>
      <c r="T203">
        <f t="shared" ref="T203:W203" si="53">+S203+1</f>
        <v>2036</v>
      </c>
      <c r="U203">
        <f t="shared" si="53"/>
        <v>2037</v>
      </c>
      <c r="V203">
        <f t="shared" si="53"/>
        <v>2038</v>
      </c>
      <c r="W203">
        <f t="shared" si="53"/>
        <v>2039</v>
      </c>
      <c r="X203">
        <v>2036</v>
      </c>
      <c r="Y203">
        <f t="shared" ref="Y203:AB203" si="54">+X203+1</f>
        <v>2037</v>
      </c>
      <c r="Z203">
        <f t="shared" si="54"/>
        <v>2038</v>
      </c>
      <c r="AA203">
        <f t="shared" si="54"/>
        <v>2039</v>
      </c>
      <c r="AB203">
        <f t="shared" si="54"/>
        <v>2040</v>
      </c>
      <c r="AC203">
        <v>2037</v>
      </c>
      <c r="AD203">
        <f t="shared" ref="AD203:AF203" si="55">+AC203+1</f>
        <v>2038</v>
      </c>
      <c r="AE203">
        <f t="shared" si="55"/>
        <v>2039</v>
      </c>
      <c r="AF203">
        <f t="shared" si="55"/>
        <v>2040</v>
      </c>
    </row>
    <row r="204" spans="1:32" x14ac:dyDescent="0.2">
      <c r="A204" s="1"/>
      <c r="C204" s="11"/>
    </row>
    <row r="205" spans="1:32" x14ac:dyDescent="0.2">
      <c r="A205" t="s">
        <v>59</v>
      </c>
      <c r="C205" s="11"/>
      <c r="H205">
        <v>1</v>
      </c>
      <c r="I205">
        <f>+H205+1</f>
        <v>2</v>
      </c>
      <c r="J205">
        <f t="shared" ref="J205:M205" si="56">+I205+1</f>
        <v>3</v>
      </c>
      <c r="K205">
        <f t="shared" si="56"/>
        <v>4</v>
      </c>
      <c r="L205">
        <f t="shared" si="56"/>
        <v>5</v>
      </c>
      <c r="M205">
        <f t="shared" si="56"/>
        <v>6</v>
      </c>
      <c r="N205">
        <v>7</v>
      </c>
    </row>
    <row r="206" spans="1:32" x14ac:dyDescent="0.2">
      <c r="A206" t="s">
        <v>60</v>
      </c>
      <c r="C206" s="11"/>
      <c r="E206">
        <v>1</v>
      </c>
      <c r="F206">
        <v>2</v>
      </c>
      <c r="G206">
        <v>3</v>
      </c>
    </row>
    <row r="207" spans="1:32" x14ac:dyDescent="0.2">
      <c r="A207" s="1"/>
      <c r="C207" s="11"/>
    </row>
    <row r="208" spans="1:32" x14ac:dyDescent="0.2">
      <c r="A208" t="s">
        <v>74</v>
      </c>
      <c r="C208" s="11" t="s">
        <v>9</v>
      </c>
      <c r="H208" s="35">
        <f t="shared" ref="H208:AF208" si="57">+I92</f>
        <v>18.73268793488068</v>
      </c>
      <c r="I208" s="35">
        <f t="shared" si="57"/>
        <v>19.2010051332527</v>
      </c>
      <c r="J208" s="35">
        <f t="shared" si="57"/>
        <v>19.68103026158402</v>
      </c>
      <c r="K208" s="35">
        <f t="shared" si="57"/>
        <v>20.173056018123614</v>
      </c>
      <c r="L208" s="35">
        <f t="shared" si="57"/>
        <v>20.677382418576705</v>
      </c>
      <c r="M208" s="35">
        <f t="shared" si="57"/>
        <v>21.194316979041126</v>
      </c>
      <c r="N208" s="35">
        <f t="shared" si="57"/>
        <v>21.724174903517149</v>
      </c>
      <c r="O208" s="35">
        <f t="shared" si="57"/>
        <v>22.267279276105075</v>
      </c>
      <c r="P208" s="35">
        <f t="shared" si="57"/>
        <v>22.823961258007703</v>
      </c>
      <c r="Q208" s="35">
        <f t="shared" si="57"/>
        <v>23.394560289457893</v>
      </c>
      <c r="R208" s="35">
        <f t="shared" si="57"/>
        <v>23.979424296694337</v>
      </c>
      <c r="S208" s="35">
        <f t="shared" si="57"/>
        <v>24.578909904111697</v>
      </c>
      <c r="T208" s="35">
        <f t="shared" si="57"/>
        <v>25.193382651714487</v>
      </c>
      <c r="U208" s="35">
        <f t="shared" si="57"/>
        <v>25.823217218007347</v>
      </c>
      <c r="V208" s="35">
        <f t="shared" si="57"/>
        <v>26.468797648457524</v>
      </c>
      <c r="W208" s="35">
        <f t="shared" si="57"/>
        <v>27.130517589668962</v>
      </c>
      <c r="X208" s="35">
        <f t="shared" si="57"/>
        <v>27.808780529410679</v>
      </c>
      <c r="Y208" s="35">
        <f t="shared" si="57"/>
        <v>28.504000042645949</v>
      </c>
      <c r="Z208" s="35">
        <f t="shared" si="57"/>
        <v>29.216600043712099</v>
      </c>
      <c r="AA208" s="35">
        <f t="shared" si="57"/>
        <v>29.947015044804889</v>
      </c>
      <c r="AB208" s="35">
        <f t="shared" si="57"/>
        <v>30.695690420925018</v>
      </c>
      <c r="AC208" s="35">
        <f t="shared" si="57"/>
        <v>31.463082681448135</v>
      </c>
      <c r="AD208" s="35">
        <f t="shared" si="57"/>
        <v>32.249659748484333</v>
      </c>
      <c r="AE208" s="35">
        <f t="shared" si="57"/>
        <v>33.055901242196448</v>
      </c>
      <c r="AF208" s="35">
        <f t="shared" si="57"/>
        <v>33.882298773251357</v>
      </c>
    </row>
    <row r="209" spans="1:32" x14ac:dyDescent="0.2">
      <c r="A209" t="s">
        <v>137</v>
      </c>
      <c r="C209" s="11" t="s">
        <v>9</v>
      </c>
      <c r="H209" s="35">
        <f>+H156</f>
        <v>-5.0141766844586657</v>
      </c>
      <c r="I209" s="35">
        <f t="shared" ref="I209:AF209" si="58">+I156</f>
        <v>-4.8068265242777706</v>
      </c>
      <c r="J209" s="35">
        <f t="shared" si="58"/>
        <v>-4.585998603685117</v>
      </c>
      <c r="K209" s="35">
        <f t="shared" si="58"/>
        <v>-4.3508168682539399</v>
      </c>
      <c r="L209" s="35">
        <f t="shared" si="58"/>
        <v>-4.1003483200197381</v>
      </c>
      <c r="M209" s="35">
        <f t="shared" si="58"/>
        <v>-3.8335993161503108</v>
      </c>
      <c r="N209" s="35">
        <f t="shared" si="58"/>
        <v>-3.5495116270293727</v>
      </c>
      <c r="O209" s="35">
        <f t="shared" si="58"/>
        <v>-3.2469582381155728</v>
      </c>
      <c r="P209" s="35">
        <f t="shared" si="58"/>
        <v>-2.9247388789223758</v>
      </c>
      <c r="Q209" s="35">
        <f t="shared" si="58"/>
        <v>-2.5815752613816216</v>
      </c>
      <c r="R209" s="35">
        <f t="shared" si="58"/>
        <v>-2.2161060087007174</v>
      </c>
      <c r="S209" s="35">
        <f t="shared" si="58"/>
        <v>-1.8268812545955553</v>
      </c>
      <c r="T209" s="35">
        <f t="shared" si="58"/>
        <v>-1.4123568914735576</v>
      </c>
      <c r="U209" s="35">
        <f t="shared" si="58"/>
        <v>-0.97088844474862945</v>
      </c>
      <c r="V209" s="35">
        <f t="shared" si="58"/>
        <v>-0.50072454898658125</v>
      </c>
      <c r="W209" s="35">
        <f t="shared" si="58"/>
        <v>0</v>
      </c>
      <c r="X209" s="35">
        <f t="shared" si="58"/>
        <v>0</v>
      </c>
      <c r="Y209" s="35">
        <f t="shared" si="58"/>
        <v>0</v>
      </c>
      <c r="Z209" s="35">
        <f t="shared" si="58"/>
        <v>0</v>
      </c>
      <c r="AA209" s="35">
        <f t="shared" si="58"/>
        <v>0</v>
      </c>
      <c r="AB209" s="35">
        <f t="shared" si="58"/>
        <v>0</v>
      </c>
      <c r="AC209" s="35">
        <f t="shared" si="58"/>
        <v>0</v>
      </c>
      <c r="AD209" s="35">
        <f t="shared" si="58"/>
        <v>0</v>
      </c>
      <c r="AE209" s="35">
        <f t="shared" si="58"/>
        <v>0</v>
      </c>
      <c r="AF209" s="35">
        <f t="shared" si="58"/>
        <v>0</v>
      </c>
    </row>
    <row r="210" spans="1:32" x14ac:dyDescent="0.2">
      <c r="A210" t="s">
        <v>138</v>
      </c>
      <c r="C210" s="11" t="s">
        <v>9</v>
      </c>
      <c r="H210" s="35">
        <f>-H195</f>
        <v>-26.19447190436102</v>
      </c>
      <c r="I210" s="35">
        <f t="shared" ref="I210:AF210" si="59">-I195</f>
        <v>-41.911155046977626</v>
      </c>
      <c r="J210" s="35">
        <f t="shared" si="59"/>
        <v>-25.146693028186579</v>
      </c>
      <c r="K210" s="35">
        <f t="shared" si="59"/>
        <v>-15.088015816911946</v>
      </c>
      <c r="L210" s="35">
        <f t="shared" si="59"/>
        <v>-15.088015816911946</v>
      </c>
      <c r="M210" s="35">
        <f t="shared" si="59"/>
        <v>-7.5440079084559732</v>
      </c>
      <c r="N210" s="35">
        <f t="shared" si="59"/>
        <v>0</v>
      </c>
      <c r="O210" s="35">
        <f t="shared" si="59"/>
        <v>0</v>
      </c>
      <c r="P210" s="35">
        <f t="shared" si="59"/>
        <v>0</v>
      </c>
      <c r="Q210" s="35">
        <f t="shared" si="59"/>
        <v>0</v>
      </c>
      <c r="R210" s="35">
        <f t="shared" si="59"/>
        <v>0</v>
      </c>
      <c r="S210" s="35">
        <f t="shared" si="59"/>
        <v>0</v>
      </c>
      <c r="T210" s="35">
        <f t="shared" si="59"/>
        <v>0</v>
      </c>
      <c r="U210" s="35">
        <f t="shared" si="59"/>
        <v>0</v>
      </c>
      <c r="V210" s="35">
        <f t="shared" si="59"/>
        <v>0</v>
      </c>
      <c r="W210" s="35">
        <f t="shared" si="59"/>
        <v>0</v>
      </c>
      <c r="X210" s="35">
        <f t="shared" si="59"/>
        <v>0</v>
      </c>
      <c r="Y210" s="35">
        <f t="shared" si="59"/>
        <v>0</v>
      </c>
      <c r="Z210" s="35">
        <f t="shared" si="59"/>
        <v>0</v>
      </c>
      <c r="AA210" s="35">
        <f t="shared" si="59"/>
        <v>0</v>
      </c>
      <c r="AB210" s="35">
        <f t="shared" si="59"/>
        <v>0</v>
      </c>
      <c r="AC210" s="35">
        <f t="shared" si="59"/>
        <v>0</v>
      </c>
      <c r="AD210" s="35">
        <f t="shared" si="59"/>
        <v>0</v>
      </c>
      <c r="AE210" s="35">
        <f t="shared" si="59"/>
        <v>0</v>
      </c>
      <c r="AF210" s="35">
        <f t="shared" si="59"/>
        <v>0</v>
      </c>
    </row>
    <row r="211" spans="1:32" x14ac:dyDescent="0.2">
      <c r="A211" t="s">
        <v>139</v>
      </c>
      <c r="C211" s="11" t="s">
        <v>9</v>
      </c>
      <c r="H211" s="35">
        <f>SUM(H208:H210)</f>
        <v>-12.475960653939005</v>
      </c>
      <c r="I211" s="35">
        <f t="shared" ref="I211:AF211" si="60">SUM(I208:I210)</f>
        <v>-27.516976438002697</v>
      </c>
      <c r="J211" s="35">
        <f t="shared" si="60"/>
        <v>-10.051661370287675</v>
      </c>
      <c r="K211" s="35">
        <f t="shared" si="60"/>
        <v>0.73422333295772724</v>
      </c>
      <c r="L211" s="35">
        <f t="shared" si="60"/>
        <v>1.4890182816450217</v>
      </c>
      <c r="M211" s="35">
        <f t="shared" si="60"/>
        <v>9.8167097544348394</v>
      </c>
      <c r="N211" s="35">
        <f t="shared" si="60"/>
        <v>18.174663276487777</v>
      </c>
      <c r="O211" s="35">
        <f t="shared" si="60"/>
        <v>19.020321037989504</v>
      </c>
      <c r="P211" s="35">
        <f t="shared" si="60"/>
        <v>19.899222379085327</v>
      </c>
      <c r="Q211" s="35">
        <f t="shared" si="60"/>
        <v>20.81298502807627</v>
      </c>
      <c r="R211" s="35">
        <f t="shared" si="60"/>
        <v>21.76331828799362</v>
      </c>
      <c r="S211" s="35">
        <f t="shared" si="60"/>
        <v>22.752028649516141</v>
      </c>
      <c r="T211" s="35">
        <f t="shared" si="60"/>
        <v>23.781025760240929</v>
      </c>
      <c r="U211" s="35">
        <f t="shared" si="60"/>
        <v>24.852328773258719</v>
      </c>
      <c r="V211" s="35">
        <f t="shared" si="60"/>
        <v>25.968073099470942</v>
      </c>
      <c r="W211" s="35">
        <f t="shared" si="60"/>
        <v>27.130517589668962</v>
      </c>
      <c r="X211" s="35">
        <f t="shared" si="60"/>
        <v>27.808780529410679</v>
      </c>
      <c r="Y211" s="35">
        <f t="shared" si="60"/>
        <v>28.504000042645949</v>
      </c>
      <c r="Z211" s="35">
        <f t="shared" si="60"/>
        <v>29.216600043712099</v>
      </c>
      <c r="AA211" s="35">
        <f t="shared" si="60"/>
        <v>29.947015044804889</v>
      </c>
      <c r="AB211" s="35">
        <f t="shared" si="60"/>
        <v>30.695690420925018</v>
      </c>
      <c r="AC211" s="35">
        <f t="shared" si="60"/>
        <v>31.463082681448135</v>
      </c>
      <c r="AD211" s="35">
        <f t="shared" si="60"/>
        <v>32.249659748484333</v>
      </c>
      <c r="AE211" s="35">
        <f t="shared" si="60"/>
        <v>33.055901242196448</v>
      </c>
      <c r="AF211" s="35">
        <f t="shared" si="60"/>
        <v>33.882298773251357</v>
      </c>
    </row>
    <row r="212" spans="1:32" x14ac:dyDescent="0.2">
      <c r="A212" t="s">
        <v>140</v>
      </c>
      <c r="C212" s="11" t="s">
        <v>9</v>
      </c>
      <c r="H212" s="35">
        <f>-H211*$E$19</f>
        <v>2.6199517373271908</v>
      </c>
      <c r="I212" s="35">
        <f t="shared" ref="I212:AF212" si="61">-I211*$E$19</f>
        <v>5.778565051980566</v>
      </c>
      <c r="J212" s="35">
        <f t="shared" si="61"/>
        <v>2.1108488877604117</v>
      </c>
      <c r="K212" s="35">
        <f t="shared" si="61"/>
        <v>-0.15418689992112272</v>
      </c>
      <c r="L212" s="35">
        <f t="shared" si="61"/>
        <v>-0.31269383914545457</v>
      </c>
      <c r="M212" s="35">
        <f t="shared" si="61"/>
        <v>-2.0615090484313163</v>
      </c>
      <c r="N212" s="35">
        <f t="shared" si="61"/>
        <v>-3.8166792880624332</v>
      </c>
      <c r="O212" s="35">
        <f t="shared" si="61"/>
        <v>-3.9942674179777957</v>
      </c>
      <c r="P212" s="35">
        <f t="shared" si="61"/>
        <v>-4.1788366996079187</v>
      </c>
      <c r="Q212" s="35">
        <f t="shared" si="61"/>
        <v>-4.3707268558960166</v>
      </c>
      <c r="R212" s="35">
        <f t="shared" si="61"/>
        <v>-4.5702968404786599</v>
      </c>
      <c r="S212" s="35">
        <f t="shared" si="61"/>
        <v>-4.7779260163983892</v>
      </c>
      <c r="T212" s="35">
        <f t="shared" si="61"/>
        <v>-4.9940154096505953</v>
      </c>
      <c r="U212" s="35">
        <f t="shared" si="61"/>
        <v>-5.2189890423843313</v>
      </c>
      <c r="V212" s="35">
        <f t="shared" si="61"/>
        <v>-5.4532953508888973</v>
      </c>
      <c r="W212" s="35">
        <f t="shared" si="61"/>
        <v>-5.6974086938304822</v>
      </c>
      <c r="X212" s="35">
        <f t="shared" si="61"/>
        <v>-5.8398439111762421</v>
      </c>
      <c r="Y212" s="35">
        <f t="shared" si="61"/>
        <v>-5.9858400089556492</v>
      </c>
      <c r="Z212" s="35">
        <f t="shared" si="61"/>
        <v>-6.1354860091795409</v>
      </c>
      <c r="AA212" s="35">
        <f t="shared" si="61"/>
        <v>-6.2888731594090261</v>
      </c>
      <c r="AB212" s="35">
        <f t="shared" si="61"/>
        <v>-6.446094988394254</v>
      </c>
      <c r="AC212" s="35">
        <f t="shared" si="61"/>
        <v>-6.6072473631041078</v>
      </c>
      <c r="AD212" s="35">
        <f t="shared" si="61"/>
        <v>-6.7724285471817094</v>
      </c>
      <c r="AE212" s="35">
        <f t="shared" si="61"/>
        <v>-6.9417392608612536</v>
      </c>
      <c r="AF212" s="35">
        <f t="shared" si="61"/>
        <v>-7.1152827423827842</v>
      </c>
    </row>
    <row r="213" spans="1:32" x14ac:dyDescent="0.2">
      <c r="A213" t="s">
        <v>141</v>
      </c>
      <c r="C213" s="11" t="s">
        <v>9</v>
      </c>
      <c r="H213" s="35">
        <v>0</v>
      </c>
      <c r="I213" s="35">
        <f>0.3*G184</f>
        <v>46.284707856541523</v>
      </c>
      <c r="J213" s="35">
        <v>0</v>
      </c>
      <c r="K213" s="35">
        <v>0</v>
      </c>
      <c r="L213" s="35">
        <v>0</v>
      </c>
      <c r="M213" s="35">
        <v>0</v>
      </c>
      <c r="N213" s="35">
        <v>1</v>
      </c>
      <c r="O213" s="35">
        <f t="shared" ref="O213" si="62">0.3*M184</f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2</v>
      </c>
      <c r="U213" s="35">
        <f t="shared" ref="U213" si="63">0.3*S184</f>
        <v>0</v>
      </c>
      <c r="V213" s="35">
        <v>0</v>
      </c>
      <c r="W213" s="35">
        <v>0</v>
      </c>
      <c r="X213" s="35">
        <v>0</v>
      </c>
      <c r="Y213" s="35">
        <v>0</v>
      </c>
      <c r="Z213" s="35">
        <v>3</v>
      </c>
      <c r="AA213" s="35">
        <f t="shared" ref="AA213" si="64">0.3*Y184</f>
        <v>0</v>
      </c>
      <c r="AB213" s="35">
        <v>0</v>
      </c>
      <c r="AC213" s="35">
        <v>0</v>
      </c>
      <c r="AD213" s="35">
        <v>0</v>
      </c>
      <c r="AE213" s="35">
        <v>0</v>
      </c>
      <c r="AF213" s="35">
        <v>4</v>
      </c>
    </row>
    <row r="214" spans="1:32" x14ac:dyDescent="0.2">
      <c r="A214" t="s">
        <v>142</v>
      </c>
      <c r="C214" s="11" t="s">
        <v>9</v>
      </c>
      <c r="H214" s="35">
        <f>+H212-H213</f>
        <v>2.6199517373271908</v>
      </c>
      <c r="I214" s="35">
        <f t="shared" ref="I214:AF214" si="65">+I212-I213</f>
        <v>-40.506142804560959</v>
      </c>
      <c r="J214" s="35">
        <f t="shared" si="65"/>
        <v>2.1108488877604117</v>
      </c>
      <c r="K214" s="35">
        <f t="shared" si="65"/>
        <v>-0.15418689992112272</v>
      </c>
      <c r="L214" s="35">
        <f t="shared" si="65"/>
        <v>-0.31269383914545457</v>
      </c>
      <c r="M214" s="35">
        <f t="shared" si="65"/>
        <v>-2.0615090484313163</v>
      </c>
      <c r="N214" s="35">
        <f t="shared" si="65"/>
        <v>-4.8166792880624332</v>
      </c>
      <c r="O214" s="35">
        <f t="shared" si="65"/>
        <v>-3.9942674179777957</v>
      </c>
      <c r="P214" s="35">
        <f t="shared" si="65"/>
        <v>-4.1788366996079187</v>
      </c>
      <c r="Q214" s="35">
        <f t="shared" si="65"/>
        <v>-4.3707268558960166</v>
      </c>
      <c r="R214" s="35">
        <f t="shared" si="65"/>
        <v>-4.5702968404786599</v>
      </c>
      <c r="S214" s="35">
        <f t="shared" si="65"/>
        <v>-4.7779260163983892</v>
      </c>
      <c r="T214" s="35">
        <f t="shared" si="65"/>
        <v>-6.9940154096505953</v>
      </c>
      <c r="U214" s="35">
        <f t="shared" si="65"/>
        <v>-5.2189890423843313</v>
      </c>
      <c r="V214" s="35">
        <f t="shared" si="65"/>
        <v>-5.4532953508888973</v>
      </c>
      <c r="W214" s="35">
        <f t="shared" si="65"/>
        <v>-5.6974086938304822</v>
      </c>
      <c r="X214" s="35">
        <f t="shared" si="65"/>
        <v>-5.8398439111762421</v>
      </c>
      <c r="Y214" s="35">
        <f t="shared" si="65"/>
        <v>-5.9858400089556492</v>
      </c>
      <c r="Z214" s="35">
        <f t="shared" si="65"/>
        <v>-9.1354860091795409</v>
      </c>
      <c r="AA214" s="35">
        <f t="shared" si="65"/>
        <v>-6.2888731594090261</v>
      </c>
      <c r="AB214" s="35">
        <f t="shared" si="65"/>
        <v>-6.446094988394254</v>
      </c>
      <c r="AC214" s="35">
        <f t="shared" si="65"/>
        <v>-6.6072473631041078</v>
      </c>
      <c r="AD214" s="35">
        <f t="shared" si="65"/>
        <v>-6.7724285471817094</v>
      </c>
      <c r="AE214" s="35">
        <f t="shared" si="65"/>
        <v>-6.9417392608612536</v>
      </c>
      <c r="AF214" s="35">
        <f t="shared" si="65"/>
        <v>-11.115282742382785</v>
      </c>
    </row>
    <row r="215" spans="1:32" x14ac:dyDescent="0.2">
      <c r="A215" t="s">
        <v>143</v>
      </c>
      <c r="C215" s="11" t="s">
        <v>9</v>
      </c>
      <c r="H215" s="35">
        <f>+H211+H214</f>
        <v>-9.8560089166118132</v>
      </c>
      <c r="I215" s="35">
        <f>+I211-I214</f>
        <v>12.989166366558262</v>
      </c>
      <c r="J215" s="35">
        <f t="shared" ref="J215:N215" si="66">+J211+J214</f>
        <v>-7.9408124825272637</v>
      </c>
      <c r="K215" s="35">
        <f t="shared" si="66"/>
        <v>0.58003643303660457</v>
      </c>
      <c r="L215" s="35">
        <f t="shared" si="66"/>
        <v>1.1763244424995671</v>
      </c>
      <c r="M215" s="35">
        <f t="shared" si="66"/>
        <v>7.7552007060035226</v>
      </c>
      <c r="N215" s="35">
        <f t="shared" si="66"/>
        <v>13.357983988425344</v>
      </c>
      <c r="O215" s="35">
        <f t="shared" ref="O215" si="67">+O211-O214</f>
        <v>23.014588455967299</v>
      </c>
      <c r="P215" s="35">
        <f t="shared" ref="P215:T215" si="68">+P211+P214</f>
        <v>15.720385679477408</v>
      </c>
      <c r="Q215" s="35">
        <f t="shared" si="68"/>
        <v>16.442258172180253</v>
      </c>
      <c r="R215" s="35">
        <f t="shared" si="68"/>
        <v>17.193021447514958</v>
      </c>
      <c r="S215" s="35">
        <f t="shared" si="68"/>
        <v>17.974102633117752</v>
      </c>
      <c r="T215" s="35">
        <f t="shared" si="68"/>
        <v>16.787010350590336</v>
      </c>
      <c r="U215" s="35">
        <f t="shared" ref="U215" si="69">+U211-U214</f>
        <v>30.071317815643049</v>
      </c>
      <c r="V215" s="35">
        <f t="shared" ref="V215:Z215" si="70">+V211+V214</f>
        <v>20.514777748582045</v>
      </c>
      <c r="W215" s="35">
        <f t="shared" si="70"/>
        <v>21.43310889583848</v>
      </c>
      <c r="X215" s="35">
        <f t="shared" si="70"/>
        <v>21.968936618234437</v>
      </c>
      <c r="Y215" s="35">
        <f t="shared" si="70"/>
        <v>22.5181600336903</v>
      </c>
      <c r="Z215" s="35">
        <f t="shared" si="70"/>
        <v>20.081114034532558</v>
      </c>
      <c r="AA215" s="35">
        <f t="shared" ref="AA215" si="71">+AA211-AA214</f>
        <v>36.235888204213914</v>
      </c>
      <c r="AB215" s="35">
        <f t="shared" ref="AB215:AF215" si="72">+AB211+AB214</f>
        <v>24.249595432530764</v>
      </c>
      <c r="AC215" s="35">
        <f t="shared" si="72"/>
        <v>24.855835318344027</v>
      </c>
      <c r="AD215" s="35">
        <f t="shared" si="72"/>
        <v>25.477231201302622</v>
      </c>
      <c r="AE215" s="35">
        <f t="shared" si="72"/>
        <v>26.114161981335194</v>
      </c>
      <c r="AF215" s="35">
        <f t="shared" si="72"/>
        <v>22.767016030868572</v>
      </c>
    </row>
    <row r="216" spans="1:32" x14ac:dyDescent="0.2">
      <c r="C216" s="11"/>
    </row>
    <row r="217" spans="1:32" x14ac:dyDescent="0.2">
      <c r="C217" s="11"/>
    </row>
    <row r="218" spans="1:32" x14ac:dyDescent="0.2">
      <c r="A218" s="1" t="s">
        <v>144</v>
      </c>
      <c r="C218" s="11"/>
    </row>
    <row r="219" spans="1:32" x14ac:dyDescent="0.2">
      <c r="A219" t="s">
        <v>145</v>
      </c>
      <c r="C219" s="11" t="s">
        <v>9</v>
      </c>
      <c r="H219" s="35">
        <f>+H215</f>
        <v>-9.8560089166118132</v>
      </c>
      <c r="I219" s="35">
        <f t="shared" ref="I219:AF219" si="73">+I215</f>
        <v>12.989166366558262</v>
      </c>
      <c r="J219" s="35">
        <f t="shared" si="73"/>
        <v>-7.9408124825272637</v>
      </c>
      <c r="K219" s="35">
        <f t="shared" si="73"/>
        <v>0.58003643303660457</v>
      </c>
      <c r="L219" s="35">
        <f t="shared" si="73"/>
        <v>1.1763244424995671</v>
      </c>
      <c r="M219" s="35">
        <f t="shared" si="73"/>
        <v>7.7552007060035226</v>
      </c>
      <c r="N219" s="35">
        <f t="shared" si="73"/>
        <v>13.357983988425344</v>
      </c>
      <c r="O219" s="35">
        <f t="shared" si="73"/>
        <v>23.014588455967299</v>
      </c>
      <c r="P219" s="35">
        <f t="shared" si="73"/>
        <v>15.720385679477408</v>
      </c>
      <c r="Q219" s="35">
        <f t="shared" si="73"/>
        <v>16.442258172180253</v>
      </c>
      <c r="R219" s="35">
        <f t="shared" si="73"/>
        <v>17.193021447514958</v>
      </c>
      <c r="S219" s="35">
        <f t="shared" si="73"/>
        <v>17.974102633117752</v>
      </c>
      <c r="T219" s="35">
        <f t="shared" si="73"/>
        <v>16.787010350590336</v>
      </c>
      <c r="U219" s="35">
        <f t="shared" si="73"/>
        <v>30.071317815643049</v>
      </c>
      <c r="V219" s="35">
        <f t="shared" si="73"/>
        <v>20.514777748582045</v>
      </c>
      <c r="W219" s="35">
        <f t="shared" si="73"/>
        <v>21.43310889583848</v>
      </c>
      <c r="X219" s="35">
        <f t="shared" si="73"/>
        <v>21.968936618234437</v>
      </c>
      <c r="Y219" s="35">
        <f t="shared" si="73"/>
        <v>22.5181600336903</v>
      </c>
      <c r="Z219" s="35">
        <f t="shared" si="73"/>
        <v>20.081114034532558</v>
      </c>
      <c r="AA219" s="35">
        <f t="shared" si="73"/>
        <v>36.235888204213914</v>
      </c>
      <c r="AB219" s="35">
        <f t="shared" si="73"/>
        <v>24.249595432530764</v>
      </c>
      <c r="AC219" s="35">
        <f t="shared" si="73"/>
        <v>24.855835318344027</v>
      </c>
      <c r="AD219" s="35">
        <f t="shared" si="73"/>
        <v>25.477231201302622</v>
      </c>
      <c r="AE219" s="35">
        <f t="shared" si="73"/>
        <v>26.114161981335194</v>
      </c>
      <c r="AF219" s="35">
        <f t="shared" si="73"/>
        <v>22.767016030868572</v>
      </c>
    </row>
    <row r="220" spans="1:32" x14ac:dyDescent="0.2">
      <c r="A220" t="s">
        <v>146</v>
      </c>
      <c r="C220" s="11" t="s">
        <v>9</v>
      </c>
      <c r="H220" s="35">
        <f>-H210</f>
        <v>26.19447190436102</v>
      </c>
      <c r="I220" s="35">
        <f t="shared" ref="I220:AF220" si="74">-I210</f>
        <v>41.911155046977626</v>
      </c>
      <c r="J220" s="35">
        <f t="shared" si="74"/>
        <v>25.146693028186579</v>
      </c>
      <c r="K220" s="35">
        <f t="shared" si="74"/>
        <v>15.088015816911946</v>
      </c>
      <c r="L220" s="35">
        <f t="shared" si="74"/>
        <v>15.088015816911946</v>
      </c>
      <c r="M220" s="35">
        <f t="shared" si="74"/>
        <v>7.5440079084559732</v>
      </c>
      <c r="N220" s="35">
        <f t="shared" si="74"/>
        <v>0</v>
      </c>
      <c r="O220" s="35">
        <f t="shared" si="74"/>
        <v>0</v>
      </c>
      <c r="P220" s="35">
        <f t="shared" si="74"/>
        <v>0</v>
      </c>
      <c r="Q220" s="35">
        <f t="shared" si="74"/>
        <v>0</v>
      </c>
      <c r="R220" s="35">
        <f t="shared" si="74"/>
        <v>0</v>
      </c>
      <c r="S220" s="35">
        <f t="shared" si="74"/>
        <v>0</v>
      </c>
      <c r="T220" s="35">
        <f t="shared" si="74"/>
        <v>0</v>
      </c>
      <c r="U220" s="35">
        <f t="shared" si="74"/>
        <v>0</v>
      </c>
      <c r="V220" s="35">
        <f t="shared" si="74"/>
        <v>0</v>
      </c>
      <c r="W220" s="35">
        <f t="shared" si="74"/>
        <v>0</v>
      </c>
      <c r="X220" s="35">
        <f t="shared" si="74"/>
        <v>0</v>
      </c>
      <c r="Y220" s="35">
        <f t="shared" si="74"/>
        <v>0</v>
      </c>
      <c r="Z220" s="35">
        <f t="shared" si="74"/>
        <v>0</v>
      </c>
      <c r="AA220" s="35">
        <f t="shared" si="74"/>
        <v>0</v>
      </c>
      <c r="AB220" s="35">
        <f t="shared" si="74"/>
        <v>0</v>
      </c>
      <c r="AC220" s="35">
        <f t="shared" si="74"/>
        <v>0</v>
      </c>
      <c r="AD220" s="35">
        <f t="shared" si="74"/>
        <v>0</v>
      </c>
      <c r="AE220" s="35">
        <f t="shared" si="74"/>
        <v>0</v>
      </c>
      <c r="AF220" s="35">
        <f t="shared" si="74"/>
        <v>0</v>
      </c>
    </row>
    <row r="221" spans="1:32" x14ac:dyDescent="0.2">
      <c r="A221" t="s">
        <v>147</v>
      </c>
      <c r="C221" s="11" t="s">
        <v>9</v>
      </c>
      <c r="H221" s="35">
        <f>+H155</f>
        <v>-3.1900024643214722</v>
      </c>
      <c r="I221" s="35">
        <f t="shared" ref="I221:AF221" si="75">+I155</f>
        <v>-3.3973526245023673</v>
      </c>
      <c r="J221" s="35">
        <f t="shared" si="75"/>
        <v>-3.6181805450950217</v>
      </c>
      <c r="K221" s="35">
        <f t="shared" si="75"/>
        <v>-3.853362280526198</v>
      </c>
      <c r="L221" s="35">
        <f t="shared" si="75"/>
        <v>-4.1038308287604011</v>
      </c>
      <c r="M221" s="35">
        <f t="shared" si="75"/>
        <v>-4.3705798326298266</v>
      </c>
      <c r="N221" s="35">
        <f t="shared" si="75"/>
        <v>-4.654667521750766</v>
      </c>
      <c r="O221" s="35">
        <f t="shared" si="75"/>
        <v>-4.9572209106645655</v>
      </c>
      <c r="P221" s="35">
        <f t="shared" si="75"/>
        <v>-5.2794402698577629</v>
      </c>
      <c r="Q221" s="35">
        <f t="shared" si="75"/>
        <v>-5.6226038873985171</v>
      </c>
      <c r="R221" s="35">
        <f t="shared" si="75"/>
        <v>-5.9880731400794209</v>
      </c>
      <c r="S221" s="35">
        <f t="shared" si="75"/>
        <v>-6.3772978941845828</v>
      </c>
      <c r="T221" s="35">
        <f t="shared" si="75"/>
        <v>-6.7918222573065803</v>
      </c>
      <c r="U221" s="35">
        <f t="shared" si="75"/>
        <v>-7.2332907040315089</v>
      </c>
      <c r="V221" s="35">
        <f t="shared" si="75"/>
        <v>-7.7034545997935568</v>
      </c>
      <c r="W221" s="35">
        <f t="shared" si="75"/>
        <v>0</v>
      </c>
      <c r="X221" s="35">
        <f t="shared" si="75"/>
        <v>0</v>
      </c>
      <c r="Y221" s="35">
        <f t="shared" si="75"/>
        <v>0</v>
      </c>
      <c r="Z221" s="35">
        <f t="shared" si="75"/>
        <v>0</v>
      </c>
      <c r="AA221" s="35">
        <f t="shared" si="75"/>
        <v>0</v>
      </c>
      <c r="AB221" s="35">
        <f t="shared" si="75"/>
        <v>0</v>
      </c>
      <c r="AC221" s="35">
        <f t="shared" si="75"/>
        <v>0</v>
      </c>
      <c r="AD221" s="35">
        <f t="shared" si="75"/>
        <v>0</v>
      </c>
      <c r="AE221" s="35">
        <f t="shared" si="75"/>
        <v>0</v>
      </c>
      <c r="AF221" s="35">
        <f t="shared" si="75"/>
        <v>0</v>
      </c>
    </row>
    <row r="222" spans="1:32" x14ac:dyDescent="0.2">
      <c r="A222" t="s">
        <v>148</v>
      </c>
      <c r="C222" s="11" t="s">
        <v>9</v>
      </c>
      <c r="E222" s="37">
        <f>+E175</f>
        <v>-6.3000000000000007</v>
      </c>
      <c r="F222" s="37">
        <f t="shared" ref="F222:G222" si="76">+F175</f>
        <v>-25.200000000000003</v>
      </c>
      <c r="G222" s="37">
        <f t="shared" si="76"/>
        <v>-51.552445585292617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  <c r="U222" s="35">
        <v>0</v>
      </c>
      <c r="V222" s="35">
        <v>0</v>
      </c>
      <c r="W222" s="35">
        <v>0</v>
      </c>
      <c r="X222" s="35">
        <v>0</v>
      </c>
      <c r="Y222" s="35">
        <v>0</v>
      </c>
      <c r="Z222" s="35">
        <v>0</v>
      </c>
      <c r="AA222" s="35">
        <v>0</v>
      </c>
      <c r="AB222" s="35">
        <v>0</v>
      </c>
      <c r="AC222" s="35">
        <v>0</v>
      </c>
      <c r="AD222" s="35">
        <v>0</v>
      </c>
      <c r="AE222" s="35">
        <v>0</v>
      </c>
      <c r="AF222" s="35">
        <v>0</v>
      </c>
    </row>
    <row r="223" spans="1:32" x14ac:dyDescent="0.2">
      <c r="A223" t="s">
        <v>149</v>
      </c>
      <c r="C223" s="11" t="s">
        <v>9</v>
      </c>
      <c r="E223" s="37">
        <f>SUM(E222)</f>
        <v>-6.3000000000000007</v>
      </c>
      <c r="F223" s="37">
        <f t="shared" ref="F223:G223" si="77">SUM(F222)</f>
        <v>-25.200000000000003</v>
      </c>
      <c r="G223" s="37">
        <f t="shared" si="77"/>
        <v>-51.552445585292617</v>
      </c>
      <c r="H223" s="35">
        <f>SUM(H219:H222)</f>
        <v>13.148460523427735</v>
      </c>
      <c r="I223" s="35">
        <f t="shared" ref="I223:AF223" si="78">SUM(I219:I222)</f>
        <v>51.502968789033524</v>
      </c>
      <c r="J223" s="35">
        <f t="shared" si="78"/>
        <v>13.587700000564293</v>
      </c>
      <c r="K223" s="35">
        <f t="shared" si="78"/>
        <v>11.814689969422353</v>
      </c>
      <c r="L223" s="35">
        <f t="shared" si="78"/>
        <v>12.160509430651114</v>
      </c>
      <c r="M223" s="35">
        <f t="shared" si="78"/>
        <v>10.928628781829669</v>
      </c>
      <c r="N223" s="35">
        <f t="shared" si="78"/>
        <v>8.703316466674579</v>
      </c>
      <c r="O223" s="35">
        <f t="shared" si="78"/>
        <v>18.057367545302732</v>
      </c>
      <c r="P223" s="35">
        <f t="shared" si="78"/>
        <v>10.440945409619644</v>
      </c>
      <c r="Q223" s="35">
        <f t="shared" si="78"/>
        <v>10.819654284781736</v>
      </c>
      <c r="R223" s="35">
        <f t="shared" si="78"/>
        <v>11.204948307435536</v>
      </c>
      <c r="S223" s="35">
        <f t="shared" si="78"/>
        <v>11.596804738933169</v>
      </c>
      <c r="T223" s="35">
        <f t="shared" si="78"/>
        <v>9.9951880932837547</v>
      </c>
      <c r="U223" s="35">
        <f t="shared" si="78"/>
        <v>22.838027111611538</v>
      </c>
      <c r="V223" s="35">
        <f t="shared" si="78"/>
        <v>12.811323148788489</v>
      </c>
      <c r="W223" s="35">
        <f t="shared" si="78"/>
        <v>21.43310889583848</v>
      </c>
      <c r="X223" s="35">
        <f t="shared" si="78"/>
        <v>21.968936618234437</v>
      </c>
      <c r="Y223" s="35">
        <f t="shared" si="78"/>
        <v>22.5181600336903</v>
      </c>
      <c r="Z223" s="35">
        <f t="shared" si="78"/>
        <v>20.081114034532558</v>
      </c>
      <c r="AA223" s="35">
        <f t="shared" si="78"/>
        <v>36.235888204213914</v>
      </c>
      <c r="AB223" s="35">
        <f t="shared" si="78"/>
        <v>24.249595432530764</v>
      </c>
      <c r="AC223" s="35">
        <f t="shared" si="78"/>
        <v>24.855835318344027</v>
      </c>
      <c r="AD223" s="35">
        <f t="shared" si="78"/>
        <v>25.477231201302622</v>
      </c>
      <c r="AE223" s="35">
        <f t="shared" si="78"/>
        <v>26.114161981335194</v>
      </c>
      <c r="AF223" s="35">
        <f t="shared" si="78"/>
        <v>22.767016030868572</v>
      </c>
    </row>
    <row r="224" spans="1:32" x14ac:dyDescent="0.2">
      <c r="C224" s="11"/>
    </row>
    <row r="225" spans="1:22" x14ac:dyDescent="0.2">
      <c r="A225" t="s">
        <v>150</v>
      </c>
      <c r="C225" s="11" t="s">
        <v>16</v>
      </c>
      <c r="E225" s="74">
        <f>+IRR(E223:AF223)</f>
        <v>0.20286086006965243</v>
      </c>
    </row>
    <row r="226" spans="1:22" x14ac:dyDescent="0.2">
      <c r="A226" t="s">
        <v>151</v>
      </c>
      <c r="C226" s="11"/>
      <c r="E226" s="61">
        <f>+NPV(0.1,E223:AF223)</f>
        <v>57.375497302245492</v>
      </c>
    </row>
    <row r="227" spans="1:22" x14ac:dyDescent="0.2">
      <c r="C227" s="11"/>
    </row>
    <row r="228" spans="1:22" x14ac:dyDescent="0.2">
      <c r="A228" s="27" t="s">
        <v>152</v>
      </c>
      <c r="C228" s="11"/>
    </row>
    <row r="229" spans="1:22" x14ac:dyDescent="0.2">
      <c r="A229" t="s">
        <v>74</v>
      </c>
      <c r="C229" s="11" t="s">
        <v>9</v>
      </c>
      <c r="H229" s="40">
        <f t="shared" ref="H229:V229" si="79">+I92</f>
        <v>18.73268793488068</v>
      </c>
      <c r="I229" s="40">
        <f t="shared" si="79"/>
        <v>19.2010051332527</v>
      </c>
      <c r="J229" s="40">
        <f t="shared" si="79"/>
        <v>19.68103026158402</v>
      </c>
      <c r="K229" s="40">
        <f t="shared" si="79"/>
        <v>20.173056018123614</v>
      </c>
      <c r="L229" s="40">
        <f t="shared" si="79"/>
        <v>20.677382418576705</v>
      </c>
      <c r="M229" s="40">
        <f t="shared" si="79"/>
        <v>21.194316979041126</v>
      </c>
      <c r="N229" s="40">
        <f t="shared" si="79"/>
        <v>21.724174903517149</v>
      </c>
      <c r="O229" s="40">
        <f t="shared" si="79"/>
        <v>22.267279276105075</v>
      </c>
      <c r="P229" s="40">
        <f t="shared" si="79"/>
        <v>22.823961258007703</v>
      </c>
      <c r="Q229" s="40">
        <f t="shared" si="79"/>
        <v>23.394560289457893</v>
      </c>
      <c r="R229" s="40">
        <f t="shared" si="79"/>
        <v>23.979424296694337</v>
      </c>
      <c r="S229" s="40">
        <f t="shared" si="79"/>
        <v>24.578909904111697</v>
      </c>
      <c r="T229" s="40">
        <f t="shared" si="79"/>
        <v>25.193382651714487</v>
      </c>
      <c r="U229" s="40">
        <f t="shared" si="79"/>
        <v>25.823217218007347</v>
      </c>
      <c r="V229" s="40">
        <f t="shared" si="79"/>
        <v>26.468797648457524</v>
      </c>
    </row>
    <row r="230" spans="1:22" x14ac:dyDescent="0.2">
      <c r="A230" t="s">
        <v>153</v>
      </c>
      <c r="C230" s="11" t="s">
        <v>9</v>
      </c>
      <c r="H230" s="37">
        <f>+H214</f>
        <v>2.6199517373271908</v>
      </c>
      <c r="I230" s="37">
        <f>-I214</f>
        <v>40.506142804560959</v>
      </c>
      <c r="J230" s="37">
        <f t="shared" ref="J230:V230" si="80">+J214</f>
        <v>2.1108488877604117</v>
      </c>
      <c r="K230" s="37">
        <f t="shared" si="80"/>
        <v>-0.15418689992112272</v>
      </c>
      <c r="L230" s="37">
        <f t="shared" si="80"/>
        <v>-0.31269383914545457</v>
      </c>
      <c r="M230" s="37">
        <f t="shared" si="80"/>
        <v>-2.0615090484313163</v>
      </c>
      <c r="N230" s="37">
        <f t="shared" si="80"/>
        <v>-4.8166792880624332</v>
      </c>
      <c r="O230" s="37">
        <f t="shared" si="80"/>
        <v>-3.9942674179777957</v>
      </c>
      <c r="P230" s="37">
        <f t="shared" si="80"/>
        <v>-4.1788366996079187</v>
      </c>
      <c r="Q230" s="37">
        <f t="shared" si="80"/>
        <v>-4.3707268558960166</v>
      </c>
      <c r="R230" s="37">
        <f t="shared" si="80"/>
        <v>-4.5702968404786599</v>
      </c>
      <c r="S230" s="37">
        <f t="shared" si="80"/>
        <v>-4.7779260163983892</v>
      </c>
      <c r="T230" s="37">
        <f t="shared" si="80"/>
        <v>-6.9940154096505953</v>
      </c>
      <c r="U230" s="37">
        <f t="shared" si="80"/>
        <v>-5.2189890423843313</v>
      </c>
      <c r="V230" s="37">
        <f t="shared" si="80"/>
        <v>-5.4532953508888973</v>
      </c>
    </row>
    <row r="231" spans="1:22" x14ac:dyDescent="0.2">
      <c r="A231" t="s">
        <v>154</v>
      </c>
      <c r="C231" s="11" t="s">
        <v>9</v>
      </c>
      <c r="H231" s="40">
        <f>SUM(H229:H230)</f>
        <v>21.352639672207872</v>
      </c>
      <c r="I231" s="40">
        <f t="shared" ref="I231:V231" si="81">SUM(I229:I230)</f>
        <v>59.707147937813659</v>
      </c>
      <c r="J231" s="40">
        <f t="shared" si="81"/>
        <v>21.791879149344432</v>
      </c>
      <c r="K231" s="40">
        <f t="shared" si="81"/>
        <v>20.018869118202492</v>
      </c>
      <c r="L231" s="40">
        <f t="shared" si="81"/>
        <v>20.364688579431252</v>
      </c>
      <c r="M231" s="40">
        <f t="shared" si="81"/>
        <v>19.132807930609811</v>
      </c>
      <c r="N231" s="40">
        <f t="shared" si="81"/>
        <v>16.907495615454714</v>
      </c>
      <c r="O231" s="40">
        <f t="shared" si="81"/>
        <v>18.27301185812728</v>
      </c>
      <c r="P231" s="40">
        <f t="shared" si="81"/>
        <v>18.645124558399786</v>
      </c>
      <c r="Q231" s="40">
        <f t="shared" si="81"/>
        <v>19.023833433561876</v>
      </c>
      <c r="R231" s="40">
        <f t="shared" si="81"/>
        <v>19.409127456215678</v>
      </c>
      <c r="S231" s="40">
        <f t="shared" si="81"/>
        <v>19.800983887713308</v>
      </c>
      <c r="T231" s="40">
        <f t="shared" si="81"/>
        <v>18.199367242063893</v>
      </c>
      <c r="U231" s="40">
        <f t="shared" si="81"/>
        <v>20.604228175623014</v>
      </c>
      <c r="V231" s="40">
        <f t="shared" si="81"/>
        <v>21.015502297568627</v>
      </c>
    </row>
    <row r="232" spans="1:22" x14ac:dyDescent="0.2">
      <c r="A232" t="s">
        <v>155</v>
      </c>
      <c r="C232" s="11" t="s">
        <v>9</v>
      </c>
      <c r="H232" s="51">
        <f>-H157</f>
        <v>8.2041791487801383</v>
      </c>
      <c r="I232" s="51">
        <f t="shared" ref="I232:V232" si="82">-I157</f>
        <v>8.2041791487801383</v>
      </c>
      <c r="J232" s="51">
        <f t="shared" si="82"/>
        <v>8.2041791487801383</v>
      </c>
      <c r="K232" s="51">
        <f t="shared" si="82"/>
        <v>8.2041791487801383</v>
      </c>
      <c r="L232" s="51">
        <f t="shared" si="82"/>
        <v>8.2041791487801383</v>
      </c>
      <c r="M232" s="51">
        <f t="shared" si="82"/>
        <v>8.2041791487801383</v>
      </c>
      <c r="N232" s="51">
        <f t="shared" si="82"/>
        <v>8.2041791487801383</v>
      </c>
      <c r="O232" s="51">
        <f t="shared" si="82"/>
        <v>8.2041791487801383</v>
      </c>
      <c r="P232" s="51">
        <f t="shared" si="82"/>
        <v>8.2041791487801383</v>
      </c>
      <c r="Q232" s="51">
        <f t="shared" si="82"/>
        <v>8.2041791487801383</v>
      </c>
      <c r="R232" s="51">
        <f t="shared" si="82"/>
        <v>8.2041791487801383</v>
      </c>
      <c r="S232" s="51">
        <f t="shared" si="82"/>
        <v>8.2041791487801383</v>
      </c>
      <c r="T232" s="51">
        <f t="shared" si="82"/>
        <v>8.2041791487801383</v>
      </c>
      <c r="U232" s="51">
        <f t="shared" si="82"/>
        <v>8.2041791487801383</v>
      </c>
      <c r="V232" s="51">
        <f t="shared" si="82"/>
        <v>8.2041791487801383</v>
      </c>
    </row>
    <row r="233" spans="1:22" x14ac:dyDescent="0.2">
      <c r="C233" s="11"/>
    </row>
    <row r="234" spans="1:22" x14ac:dyDescent="0.2">
      <c r="A234" t="s">
        <v>152</v>
      </c>
      <c r="C234" s="11" t="s">
        <v>118</v>
      </c>
      <c r="H234" s="54">
        <f>+H231/H232</f>
        <v>2.6026539992587496</v>
      </c>
      <c r="I234" s="54">
        <f t="shared" ref="I234:V234" si="83">+I231/I232</f>
        <v>7.2776504334003222</v>
      </c>
      <c r="J234" s="54">
        <f t="shared" si="83"/>
        <v>2.6561925031323357</v>
      </c>
      <c r="K234" s="54">
        <f t="shared" si="83"/>
        <v>2.440081908886528</v>
      </c>
      <c r="L234" s="54">
        <f t="shared" si="83"/>
        <v>2.4822335312435535</v>
      </c>
      <c r="M234" s="54">
        <f t="shared" si="83"/>
        <v>2.3320807095557665</v>
      </c>
      <c r="N234" s="54">
        <f t="shared" si="83"/>
        <v>2.0608393976829058</v>
      </c>
      <c r="O234" s="54">
        <f t="shared" si="83"/>
        <v>2.2272809414265722</v>
      </c>
      <c r="P234" s="54">
        <f t="shared" si="83"/>
        <v>2.2726374229860751</v>
      </c>
      <c r="Q234" s="54">
        <f t="shared" si="83"/>
        <v>2.3187979063561146</v>
      </c>
      <c r="R234" s="54">
        <f t="shared" si="83"/>
        <v>2.3657610474171058</v>
      </c>
      <c r="S234" s="54">
        <f t="shared" si="83"/>
        <v>2.4135240745757573</v>
      </c>
      <c r="T234" s="54">
        <f t="shared" si="83"/>
        <v>2.2183044655686142</v>
      </c>
      <c r="U234" s="54">
        <f t="shared" si="83"/>
        <v>2.5114307966674048</v>
      </c>
      <c r="V234" s="54">
        <f t="shared" si="83"/>
        <v>2.5615606286088202</v>
      </c>
    </row>
    <row r="236" spans="1:22" x14ac:dyDescent="0.2">
      <c r="B236" s="11" t="s">
        <v>119</v>
      </c>
      <c r="C236" s="11" t="s">
        <v>120</v>
      </c>
    </row>
    <row r="237" spans="1:22" x14ac:dyDescent="0.2">
      <c r="B237" s="55">
        <f>+MIN(H234:V234)</f>
        <v>2.0608393976829058</v>
      </c>
      <c r="C237" s="55">
        <f>+AVERAGE(H234:V234)</f>
        <v>2.7160686511177752</v>
      </c>
    </row>
    <row r="239" spans="1:22" x14ac:dyDescent="0.2">
      <c r="A239" s="27" t="s">
        <v>156</v>
      </c>
    </row>
    <row r="241" spans="1:32" x14ac:dyDescent="0.2">
      <c r="A241" t="s">
        <v>157</v>
      </c>
      <c r="C241" t="s">
        <v>158</v>
      </c>
      <c r="H241" s="62">
        <f t="shared" ref="H241:AF241" si="84">+I87*$E$22/2000/1000000</f>
        <v>0</v>
      </c>
      <c r="I241" s="62">
        <f t="shared" si="84"/>
        <v>0</v>
      </c>
      <c r="J241" s="62">
        <f t="shared" si="84"/>
        <v>0</v>
      </c>
      <c r="K241" s="62">
        <f t="shared" si="84"/>
        <v>0</v>
      </c>
      <c r="L241" s="62">
        <f t="shared" si="84"/>
        <v>0</v>
      </c>
      <c r="M241" s="62">
        <f t="shared" si="84"/>
        <v>0</v>
      </c>
      <c r="N241" s="62">
        <f t="shared" si="84"/>
        <v>0</v>
      </c>
      <c r="O241" s="62">
        <f t="shared" si="84"/>
        <v>0</v>
      </c>
      <c r="P241" s="62">
        <f t="shared" si="84"/>
        <v>0</v>
      </c>
      <c r="Q241" s="62">
        <f t="shared" si="84"/>
        <v>0</v>
      </c>
      <c r="R241" s="62">
        <f t="shared" si="84"/>
        <v>0</v>
      </c>
      <c r="S241" s="62">
        <f t="shared" si="84"/>
        <v>0</v>
      </c>
      <c r="T241" s="62">
        <f t="shared" si="84"/>
        <v>0</v>
      </c>
      <c r="U241" s="62">
        <f t="shared" si="84"/>
        <v>0</v>
      </c>
      <c r="V241" s="62">
        <f t="shared" si="84"/>
        <v>0</v>
      </c>
      <c r="W241" s="62">
        <f t="shared" si="84"/>
        <v>0</v>
      </c>
      <c r="X241" s="62">
        <f t="shared" si="84"/>
        <v>0</v>
      </c>
      <c r="Y241" s="62">
        <f t="shared" si="84"/>
        <v>0</v>
      </c>
      <c r="Z241" s="62">
        <f t="shared" si="84"/>
        <v>0</v>
      </c>
      <c r="AA241" s="62">
        <f t="shared" si="84"/>
        <v>0</v>
      </c>
      <c r="AB241" s="62">
        <f t="shared" si="84"/>
        <v>0</v>
      </c>
      <c r="AC241" s="62">
        <f t="shared" si="84"/>
        <v>0</v>
      </c>
      <c r="AD241" s="62">
        <f t="shared" si="84"/>
        <v>0</v>
      </c>
      <c r="AE241" s="62">
        <f t="shared" si="84"/>
        <v>0</v>
      </c>
      <c r="AF241" s="62">
        <f t="shared" si="84"/>
        <v>0</v>
      </c>
    </row>
    <row r="242" spans="1:32" x14ac:dyDescent="0.2">
      <c r="A242" t="s">
        <v>159</v>
      </c>
      <c r="C242" t="s">
        <v>158</v>
      </c>
      <c r="E242" s="54">
        <f>+SUM(H241:AF241)</f>
        <v>0</v>
      </c>
    </row>
    <row r="243" spans="1:32" x14ac:dyDescent="0.2">
      <c r="A243" t="s">
        <v>160</v>
      </c>
      <c r="C243" t="s">
        <v>34</v>
      </c>
      <c r="H243" s="35">
        <f>+$E$23</f>
        <v>0</v>
      </c>
      <c r="I243" s="35">
        <f t="shared" ref="I243:AF243" si="85">+$E$23</f>
        <v>0</v>
      </c>
      <c r="J243" s="35">
        <f t="shared" si="85"/>
        <v>0</v>
      </c>
      <c r="K243" s="35">
        <f t="shared" si="85"/>
        <v>0</v>
      </c>
      <c r="L243" s="35">
        <f t="shared" si="85"/>
        <v>0</v>
      </c>
      <c r="M243" s="35">
        <f t="shared" si="85"/>
        <v>0</v>
      </c>
      <c r="N243" s="35">
        <f t="shared" si="85"/>
        <v>0</v>
      </c>
      <c r="O243" s="35">
        <f t="shared" si="85"/>
        <v>0</v>
      </c>
      <c r="P243" s="35">
        <f t="shared" si="85"/>
        <v>0</v>
      </c>
      <c r="Q243" s="35">
        <f t="shared" si="85"/>
        <v>0</v>
      </c>
      <c r="R243" s="35">
        <f t="shared" si="85"/>
        <v>0</v>
      </c>
      <c r="S243" s="35">
        <f t="shared" si="85"/>
        <v>0</v>
      </c>
      <c r="T243" s="35">
        <f t="shared" si="85"/>
        <v>0</v>
      </c>
      <c r="U243" s="35">
        <f t="shared" si="85"/>
        <v>0</v>
      </c>
      <c r="V243" s="35">
        <f t="shared" si="85"/>
        <v>0</v>
      </c>
      <c r="W243" s="35">
        <f t="shared" si="85"/>
        <v>0</v>
      </c>
      <c r="X243" s="35">
        <f t="shared" si="85"/>
        <v>0</v>
      </c>
      <c r="Y243" s="35">
        <f t="shared" si="85"/>
        <v>0</v>
      </c>
      <c r="Z243" s="35">
        <f t="shared" si="85"/>
        <v>0</v>
      </c>
      <c r="AA243" s="35">
        <f t="shared" si="85"/>
        <v>0</v>
      </c>
      <c r="AB243" s="35">
        <f t="shared" si="85"/>
        <v>0</v>
      </c>
      <c r="AC243" s="35">
        <f t="shared" si="85"/>
        <v>0</v>
      </c>
      <c r="AD243" s="35">
        <f t="shared" si="85"/>
        <v>0</v>
      </c>
      <c r="AE243" s="35">
        <f t="shared" si="85"/>
        <v>0</v>
      </c>
      <c r="AF243" s="35">
        <f t="shared" si="85"/>
        <v>0</v>
      </c>
    </row>
    <row r="244" spans="1:32" x14ac:dyDescent="0.2">
      <c r="A244" t="s">
        <v>161</v>
      </c>
      <c r="C244" t="s">
        <v>9</v>
      </c>
      <c r="H244" s="35">
        <f>+H241*H243</f>
        <v>0</v>
      </c>
      <c r="I244" s="35">
        <f t="shared" ref="I244:AF244" si="86">+I241*I243</f>
        <v>0</v>
      </c>
      <c r="J244" s="35">
        <f t="shared" si="86"/>
        <v>0</v>
      </c>
      <c r="K244" s="35">
        <f t="shared" si="86"/>
        <v>0</v>
      </c>
      <c r="L244" s="35">
        <f t="shared" si="86"/>
        <v>0</v>
      </c>
      <c r="M244" s="35">
        <f t="shared" si="86"/>
        <v>0</v>
      </c>
      <c r="N244" s="35">
        <f t="shared" si="86"/>
        <v>0</v>
      </c>
      <c r="O244" s="35">
        <f t="shared" si="86"/>
        <v>0</v>
      </c>
      <c r="P244" s="35">
        <f t="shared" si="86"/>
        <v>0</v>
      </c>
      <c r="Q244" s="35">
        <f t="shared" si="86"/>
        <v>0</v>
      </c>
      <c r="R244" s="35">
        <f t="shared" si="86"/>
        <v>0</v>
      </c>
      <c r="S244" s="35">
        <f t="shared" si="86"/>
        <v>0</v>
      </c>
      <c r="T244" s="35">
        <f t="shared" si="86"/>
        <v>0</v>
      </c>
      <c r="U244" s="35">
        <f t="shared" si="86"/>
        <v>0</v>
      </c>
      <c r="V244" s="35">
        <f t="shared" si="86"/>
        <v>0</v>
      </c>
      <c r="W244" s="35">
        <f t="shared" si="86"/>
        <v>0</v>
      </c>
      <c r="X244" s="35">
        <f t="shared" si="86"/>
        <v>0</v>
      </c>
      <c r="Y244" s="35">
        <f t="shared" si="86"/>
        <v>0</v>
      </c>
      <c r="Z244" s="35">
        <f t="shared" si="86"/>
        <v>0</v>
      </c>
      <c r="AA244" s="35">
        <f t="shared" si="86"/>
        <v>0</v>
      </c>
      <c r="AB244" s="35">
        <f t="shared" si="86"/>
        <v>0</v>
      </c>
      <c r="AC244" s="35">
        <f t="shared" si="86"/>
        <v>0</v>
      </c>
      <c r="AD244" s="35">
        <f t="shared" si="86"/>
        <v>0</v>
      </c>
      <c r="AE244" s="35">
        <f t="shared" si="86"/>
        <v>0</v>
      </c>
      <c r="AF244" s="35">
        <f t="shared" si="86"/>
        <v>0</v>
      </c>
    </row>
    <row r="245" spans="1:32" x14ac:dyDescent="0.2">
      <c r="A245" t="s">
        <v>162</v>
      </c>
      <c r="C245" t="s">
        <v>9</v>
      </c>
      <c r="E245" s="37">
        <f>+E223</f>
        <v>-6.3000000000000007</v>
      </c>
      <c r="F245" s="37">
        <f>+F223</f>
        <v>-25.200000000000003</v>
      </c>
      <c r="G245" s="37">
        <f>+G223</f>
        <v>-51.552445585292617</v>
      </c>
      <c r="H245" s="63">
        <f t="shared" ref="H245:AF245" si="87">+H223-H244</f>
        <v>13.148460523427735</v>
      </c>
      <c r="I245" s="63">
        <f t="shared" si="87"/>
        <v>51.502968789033524</v>
      </c>
      <c r="J245" s="63">
        <f t="shared" si="87"/>
        <v>13.587700000564293</v>
      </c>
      <c r="K245" s="63">
        <f t="shared" si="87"/>
        <v>11.814689969422353</v>
      </c>
      <c r="L245" s="63">
        <f t="shared" si="87"/>
        <v>12.160509430651114</v>
      </c>
      <c r="M245" s="63">
        <f t="shared" si="87"/>
        <v>10.928628781829669</v>
      </c>
      <c r="N245" s="63">
        <f t="shared" si="87"/>
        <v>8.703316466674579</v>
      </c>
      <c r="O245" s="63">
        <f t="shared" si="87"/>
        <v>18.057367545302732</v>
      </c>
      <c r="P245" s="63">
        <f t="shared" si="87"/>
        <v>10.440945409619644</v>
      </c>
      <c r="Q245" s="63">
        <f t="shared" si="87"/>
        <v>10.819654284781736</v>
      </c>
      <c r="R245" s="63">
        <f t="shared" si="87"/>
        <v>11.204948307435536</v>
      </c>
      <c r="S245" s="63">
        <f t="shared" si="87"/>
        <v>11.596804738933169</v>
      </c>
      <c r="T245" s="63">
        <f t="shared" si="87"/>
        <v>9.9951880932837547</v>
      </c>
      <c r="U245" s="63">
        <f t="shared" si="87"/>
        <v>22.838027111611538</v>
      </c>
      <c r="V245" s="63">
        <f t="shared" si="87"/>
        <v>12.811323148788489</v>
      </c>
      <c r="W245" s="63">
        <f t="shared" si="87"/>
        <v>21.43310889583848</v>
      </c>
      <c r="X245" s="63">
        <f t="shared" si="87"/>
        <v>21.968936618234437</v>
      </c>
      <c r="Y245" s="63">
        <f t="shared" si="87"/>
        <v>22.5181600336903</v>
      </c>
      <c r="Z245" s="63">
        <f t="shared" si="87"/>
        <v>20.081114034532558</v>
      </c>
      <c r="AA245" s="63">
        <f t="shared" si="87"/>
        <v>36.235888204213914</v>
      </c>
      <c r="AB245" s="63">
        <f t="shared" si="87"/>
        <v>24.249595432530764</v>
      </c>
      <c r="AC245" s="63">
        <f t="shared" si="87"/>
        <v>24.855835318344027</v>
      </c>
      <c r="AD245" s="63">
        <f t="shared" si="87"/>
        <v>25.477231201302622</v>
      </c>
      <c r="AE245" s="63">
        <f t="shared" si="87"/>
        <v>26.114161981335194</v>
      </c>
      <c r="AF245" s="63">
        <f t="shared" si="87"/>
        <v>22.767016030868572</v>
      </c>
    </row>
    <row r="247" spans="1:32" x14ac:dyDescent="0.2">
      <c r="A247" t="s">
        <v>163</v>
      </c>
      <c r="C247" t="s">
        <v>16</v>
      </c>
      <c r="E247" s="73">
        <f>+IRR(E245:AF245)</f>
        <v>0.20286086006965243</v>
      </c>
    </row>
    <row r="248" spans="1:32" x14ac:dyDescent="0.2">
      <c r="A248" t="s">
        <v>164</v>
      </c>
      <c r="C248" t="s">
        <v>9</v>
      </c>
      <c r="E248" s="51">
        <f>+NPV(0.1,E245:AF245)</f>
        <v>57.375497302245492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1BAC-2FA0-409D-ABF7-D9FFE356793C}">
  <dimension ref="A1:AF249"/>
  <sheetViews>
    <sheetView topLeftCell="A141" zoomScale="85" workbookViewId="0">
      <pane xSplit="1" topLeftCell="B1" activePane="topRight" state="frozen"/>
      <selection pane="topRight" activeCell="G167" sqref="G167"/>
    </sheetView>
  </sheetViews>
  <sheetFormatPr baseColWidth="10" defaultColWidth="8.83203125" defaultRowHeight="15" x14ac:dyDescent="0.2"/>
  <cols>
    <col min="1" max="1" width="33.5" customWidth="1"/>
    <col min="5" max="5" width="9.83203125" customWidth="1"/>
    <col min="6" max="7" width="11.1640625" customWidth="1"/>
    <col min="8" max="8" width="14.1640625" bestFit="1" customWidth="1"/>
    <col min="9" max="32" width="13.1640625" bestFit="1" customWidth="1"/>
  </cols>
  <sheetData>
    <row r="1" spans="1:7" x14ac:dyDescent="0.2">
      <c r="A1" s="1" t="s">
        <v>165</v>
      </c>
      <c r="F1" s="2" t="s">
        <v>21</v>
      </c>
      <c r="G1" s="2"/>
    </row>
    <row r="3" spans="1:7" x14ac:dyDescent="0.2">
      <c r="A3" s="3" t="s">
        <v>0</v>
      </c>
      <c r="B3" s="4"/>
      <c r="C3" s="5" t="s">
        <v>227</v>
      </c>
      <c r="D3" s="4"/>
      <c r="E3" s="4"/>
      <c r="F3" s="4"/>
      <c r="G3" s="4"/>
    </row>
    <row r="4" spans="1:7" x14ac:dyDescent="0.2">
      <c r="A4" s="4"/>
      <c r="B4" s="4"/>
      <c r="C4" s="4"/>
      <c r="D4" s="4"/>
      <c r="E4" s="4"/>
      <c r="F4" s="4"/>
      <c r="G4" s="4"/>
    </row>
    <row r="5" spans="1:7" x14ac:dyDescent="0.2">
      <c r="A5" s="4" t="s">
        <v>1</v>
      </c>
      <c r="B5" s="4"/>
      <c r="C5" s="6" t="str">
        <f>+'[1]Base Data'!D5</f>
        <v>MW</v>
      </c>
      <c r="D5" s="4"/>
      <c r="E5" s="6">
        <f>VLOOKUP(Residual!A5,Table1[#All],8,FALSE)</f>
        <v>80</v>
      </c>
      <c r="F5" s="4"/>
      <c r="G5" s="4"/>
    </row>
    <row r="6" spans="1:7" x14ac:dyDescent="0.2">
      <c r="A6" s="4" t="s">
        <v>187</v>
      </c>
      <c r="B6" s="4"/>
      <c r="C6" s="6" t="str">
        <f>+'[1]Base Data'!D15</f>
        <v>%</v>
      </c>
      <c r="D6" s="4"/>
      <c r="E6" s="6">
        <f>VLOOKUP(Residual!A6,Table1[#All],8,FALSE)</f>
        <v>0.4</v>
      </c>
      <c r="F6" s="4"/>
      <c r="G6" s="4"/>
    </row>
    <row r="7" spans="1:7" x14ac:dyDescent="0.2">
      <c r="A7" s="4" t="s">
        <v>2</v>
      </c>
      <c r="B7" s="4"/>
      <c r="C7" s="6" t="s">
        <v>3</v>
      </c>
      <c r="D7" s="4"/>
      <c r="E7" s="6">
        <f>+E5*8760*E6</f>
        <v>280320</v>
      </c>
      <c r="F7" s="4"/>
      <c r="G7" s="4"/>
    </row>
    <row r="8" spans="1:7" x14ac:dyDescent="0.2">
      <c r="A8" s="4" t="s">
        <v>182</v>
      </c>
      <c r="B8" s="4"/>
      <c r="C8" s="6" t="s">
        <v>5</v>
      </c>
      <c r="D8" s="4"/>
      <c r="E8" s="6">
        <f>VLOOKUP(Residual!A8,Table1[#All],8,FALSE)</f>
        <v>0</v>
      </c>
      <c r="F8" s="4"/>
      <c r="G8" s="4"/>
    </row>
    <row r="9" spans="1:7" x14ac:dyDescent="0.2">
      <c r="A9" s="4" t="s">
        <v>66</v>
      </c>
      <c r="B9" s="4"/>
      <c r="C9" s="6" t="s">
        <v>6</v>
      </c>
      <c r="D9" s="4"/>
      <c r="E9" s="6">
        <f>VLOOKUP(Residual!A9,Table1[#All],8,FALSE)</f>
        <v>42</v>
      </c>
      <c r="F9" s="4"/>
      <c r="G9" s="4"/>
    </row>
    <row r="10" spans="1:7" x14ac:dyDescent="0.2">
      <c r="A10" s="4" t="s">
        <v>68</v>
      </c>
      <c r="B10" s="4"/>
      <c r="C10" s="6" t="s">
        <v>7</v>
      </c>
      <c r="D10" s="4"/>
      <c r="E10" s="6">
        <f>VLOOKUP(Residual!A10,Table1[#All],8,FALSE)</f>
        <v>0</v>
      </c>
      <c r="F10" s="4"/>
      <c r="G10" s="4"/>
    </row>
    <row r="11" spans="1:7" x14ac:dyDescent="0.2">
      <c r="A11" s="4" t="s">
        <v>181</v>
      </c>
      <c r="B11" s="4"/>
      <c r="C11" s="6" t="str">
        <f>+'[1]Base Data'!D6</f>
        <v>$/kw</v>
      </c>
      <c r="D11" s="4"/>
      <c r="E11" s="6">
        <f>VLOOKUP(Residual!A11,Table1[#All],8,FALSE)</f>
        <v>1500</v>
      </c>
      <c r="F11" s="4"/>
      <c r="G11" s="4"/>
    </row>
    <row r="12" spans="1:7" x14ac:dyDescent="0.2">
      <c r="A12" s="4" t="s">
        <v>8</v>
      </c>
      <c r="B12" s="4"/>
      <c r="C12" s="6" t="s">
        <v>9</v>
      </c>
      <c r="D12" s="4"/>
      <c r="E12" s="6">
        <f>+E5*E11*1000/1000000</f>
        <v>120</v>
      </c>
      <c r="F12" s="4"/>
      <c r="G12" s="4"/>
    </row>
    <row r="13" spans="1:7" x14ac:dyDescent="0.2">
      <c r="A13" s="4" t="s">
        <v>41</v>
      </c>
      <c r="B13" s="4"/>
      <c r="C13" s="6" t="s">
        <v>10</v>
      </c>
      <c r="D13" s="4"/>
      <c r="E13" s="6">
        <f>VLOOKUP(Residual!A13,Table1[#All],8,FALSE)</f>
        <v>3</v>
      </c>
      <c r="F13" s="4"/>
      <c r="G13" s="4"/>
    </row>
    <row r="14" spans="1:7" x14ac:dyDescent="0.2">
      <c r="A14" s="4" t="s">
        <v>11</v>
      </c>
      <c r="B14" s="4"/>
      <c r="C14" s="6" t="s">
        <v>12</v>
      </c>
      <c r="D14" s="4"/>
      <c r="E14" s="6" t="s">
        <v>226</v>
      </c>
      <c r="F14" s="6" t="s">
        <v>14</v>
      </c>
      <c r="G14" s="6" t="s">
        <v>15</v>
      </c>
    </row>
    <row r="15" spans="1:7" x14ac:dyDescent="0.2">
      <c r="A15" s="4" t="s">
        <v>11</v>
      </c>
      <c r="B15" s="4"/>
      <c r="C15" s="6" t="s">
        <v>16</v>
      </c>
      <c r="D15" s="4"/>
      <c r="E15" s="8">
        <v>0.1</v>
      </c>
      <c r="F15" s="8">
        <v>0.4</v>
      </c>
      <c r="G15" s="8">
        <v>0.5</v>
      </c>
    </row>
    <row r="16" spans="1:7" x14ac:dyDescent="0.2">
      <c r="A16" s="4" t="s">
        <v>11</v>
      </c>
      <c r="B16" s="4"/>
      <c r="C16" s="6" t="s">
        <v>9</v>
      </c>
      <c r="D16" s="4"/>
      <c r="E16" s="6">
        <f>+E12*E15</f>
        <v>12</v>
      </c>
      <c r="F16" s="6">
        <f>+E12*F15</f>
        <v>48</v>
      </c>
      <c r="G16" s="6">
        <f>+E12*G15</f>
        <v>60</v>
      </c>
    </row>
    <row r="17" spans="1:23" x14ac:dyDescent="0.2">
      <c r="A17" s="4" t="s">
        <v>191</v>
      </c>
      <c r="B17" s="4"/>
      <c r="C17" s="6" t="s">
        <v>16</v>
      </c>
      <c r="D17" s="4"/>
      <c r="E17" s="6">
        <f>VLOOKUP(Residual!A17,Table1[#All],8,FALSE)</f>
        <v>2.5000000000000001E-2</v>
      </c>
      <c r="F17" s="4"/>
      <c r="G17" s="4"/>
    </row>
    <row r="18" spans="1:23" x14ac:dyDescent="0.2">
      <c r="A18" s="4" t="s">
        <v>17</v>
      </c>
      <c r="B18" s="4"/>
      <c r="C18" s="6" t="s">
        <v>18</v>
      </c>
      <c r="D18" s="4"/>
      <c r="E18" s="6">
        <f>VLOOKUP(Residual!A18,Table1[#All],8,FALSE)</f>
        <v>25</v>
      </c>
      <c r="F18" s="4"/>
      <c r="G18" s="4"/>
      <c r="H18" s="11"/>
    </row>
    <row r="19" spans="1:23" x14ac:dyDescent="0.2">
      <c r="A19" s="4" t="s">
        <v>19</v>
      </c>
      <c r="B19" s="4"/>
      <c r="C19" s="6" t="s">
        <v>20</v>
      </c>
      <c r="D19" s="4"/>
      <c r="E19" s="6">
        <f>VLOOKUP(Residual!A19,Table1[#All],8,FALSE)</f>
        <v>0.21</v>
      </c>
      <c r="F19" s="10" t="s">
        <v>21</v>
      </c>
      <c r="G19" s="4"/>
      <c r="H19" s="12"/>
    </row>
    <row r="20" spans="1:23" x14ac:dyDescent="0.2">
      <c r="A20" s="4" t="s">
        <v>22</v>
      </c>
      <c r="B20" s="4"/>
      <c r="C20" s="6" t="s">
        <v>23</v>
      </c>
      <c r="D20" s="4"/>
      <c r="E20" s="6">
        <f>VLOOKUP(Residual!A20,Table1[#All],8,FALSE)</f>
        <v>5</v>
      </c>
      <c r="F20" s="10"/>
      <c r="G20" s="4"/>
      <c r="H20" s="10" t="s">
        <v>24</v>
      </c>
      <c r="I20" s="10" t="s">
        <v>25</v>
      </c>
      <c r="J20" s="10" t="s">
        <v>26</v>
      </c>
      <c r="K20" s="10" t="s">
        <v>27</v>
      </c>
      <c r="L20" s="10" t="s">
        <v>28</v>
      </c>
      <c r="M20" s="10" t="s">
        <v>29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x14ac:dyDescent="0.2">
      <c r="A21" s="4" t="s">
        <v>30</v>
      </c>
      <c r="B21" s="4"/>
      <c r="C21" s="6" t="s">
        <v>16</v>
      </c>
      <c r="D21" s="4"/>
      <c r="E21" s="6"/>
      <c r="F21" s="4"/>
      <c r="G21" s="4"/>
      <c r="H21" s="72">
        <v>0.2</v>
      </c>
      <c r="I21" s="72">
        <v>0.32</v>
      </c>
      <c r="J21" s="72">
        <v>0.192</v>
      </c>
      <c r="K21" s="72">
        <v>0.1152</v>
      </c>
      <c r="L21" s="72">
        <v>0.1152</v>
      </c>
      <c r="M21" s="72">
        <v>5.7599999999999998E-2</v>
      </c>
      <c r="N21" s="14"/>
      <c r="O21" s="14"/>
      <c r="P21" s="14"/>
      <c r="Q21" s="14"/>
      <c r="R21" s="14"/>
      <c r="S21" s="14"/>
      <c r="T21" s="14"/>
      <c r="U21" s="14"/>
      <c r="V21" s="14"/>
      <c r="W21" s="15"/>
    </row>
    <row r="22" spans="1:23" x14ac:dyDescent="0.2">
      <c r="A22" s="4" t="s">
        <v>31</v>
      </c>
      <c r="B22" s="4"/>
      <c r="C22" s="6" t="s">
        <v>32</v>
      </c>
      <c r="D22" s="4"/>
      <c r="E22" s="6">
        <v>0</v>
      </c>
      <c r="F22" s="4"/>
      <c r="G22" s="4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7"/>
    </row>
    <row r="23" spans="1:23" x14ac:dyDescent="0.2">
      <c r="A23" s="4" t="s">
        <v>33</v>
      </c>
      <c r="B23" s="4"/>
      <c r="C23" s="6" t="s">
        <v>34</v>
      </c>
      <c r="D23" s="4"/>
      <c r="E23" s="6">
        <v>0</v>
      </c>
      <c r="F23" s="4"/>
      <c r="G23" s="4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7"/>
    </row>
    <row r="24" spans="1:23" x14ac:dyDescent="0.2">
      <c r="A24" s="4"/>
      <c r="B24" s="4"/>
      <c r="C24" s="6"/>
      <c r="D24" s="4"/>
      <c r="E24" s="13"/>
      <c r="F24" s="4"/>
      <c r="G24" s="4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7"/>
    </row>
    <row r="25" spans="1:23" x14ac:dyDescent="0.2">
      <c r="A25" s="4" t="s">
        <v>35</v>
      </c>
      <c r="B25" s="4"/>
      <c r="C25" s="6"/>
      <c r="D25" s="4"/>
      <c r="E25" s="13"/>
      <c r="F25" s="4"/>
      <c r="G25" s="4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7"/>
    </row>
    <row r="26" spans="1:23" x14ac:dyDescent="0.2">
      <c r="C26" s="11"/>
      <c r="E26" s="1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7"/>
    </row>
    <row r="28" spans="1:23" x14ac:dyDescent="0.2">
      <c r="A28" s="1" t="s">
        <v>36</v>
      </c>
    </row>
    <row r="29" spans="1:23" ht="16" thickBot="1" x14ac:dyDescent="0.25"/>
    <row r="30" spans="1:23" ht="16" thickBot="1" x14ac:dyDescent="0.25">
      <c r="A30" t="s">
        <v>36</v>
      </c>
      <c r="C30" s="11" t="s">
        <v>37</v>
      </c>
      <c r="E30" s="19">
        <v>0.05</v>
      </c>
    </row>
    <row r="31" spans="1:23" x14ac:dyDescent="0.2">
      <c r="A31" t="s">
        <v>36</v>
      </c>
      <c r="C31" s="11" t="s">
        <v>9</v>
      </c>
      <c r="E31" s="20">
        <f>+E30*E12</f>
        <v>6</v>
      </c>
    </row>
    <row r="32" spans="1:23" x14ac:dyDescent="0.2">
      <c r="A32" t="s">
        <v>38</v>
      </c>
      <c r="C32" s="11"/>
      <c r="E32" s="21">
        <f>+E12+E31</f>
        <v>126</v>
      </c>
    </row>
    <row r="33" spans="1:7" x14ac:dyDescent="0.2">
      <c r="A33" t="s">
        <v>39</v>
      </c>
      <c r="C33" s="11" t="s">
        <v>12</v>
      </c>
      <c r="E33" s="11" t="s">
        <v>13</v>
      </c>
      <c r="F33" s="11" t="s">
        <v>14</v>
      </c>
      <c r="G33" s="11" t="s">
        <v>15</v>
      </c>
    </row>
    <row r="34" spans="1:7" x14ac:dyDescent="0.2">
      <c r="A34" t="s">
        <v>39</v>
      </c>
      <c r="C34" s="11" t="s">
        <v>16</v>
      </c>
      <c r="E34" s="22">
        <v>0.1</v>
      </c>
      <c r="F34" s="22">
        <v>0.4</v>
      </c>
      <c r="G34" s="22">
        <v>0.5</v>
      </c>
    </row>
    <row r="35" spans="1:7" x14ac:dyDescent="0.2">
      <c r="A35" t="s">
        <v>39</v>
      </c>
      <c r="C35" s="11" t="s">
        <v>9</v>
      </c>
      <c r="E35" s="23">
        <f>+E34*$E$32</f>
        <v>12.600000000000001</v>
      </c>
      <c r="F35" s="23">
        <f t="shared" ref="F35:G35" si="0">+F34*$E$32</f>
        <v>50.400000000000006</v>
      </c>
      <c r="G35" s="23">
        <f t="shared" si="0"/>
        <v>63</v>
      </c>
    </row>
    <row r="36" spans="1:7" x14ac:dyDescent="0.2">
      <c r="C36" s="11"/>
      <c r="E36" s="24"/>
      <c r="F36" s="24"/>
      <c r="G36" s="24"/>
    </row>
    <row r="37" spans="1:7" x14ac:dyDescent="0.2">
      <c r="A37" t="s">
        <v>40</v>
      </c>
      <c r="C37" s="11"/>
      <c r="E37" s="24"/>
      <c r="F37" s="24"/>
      <c r="G37" s="24"/>
    </row>
    <row r="38" spans="1:7" x14ac:dyDescent="0.2">
      <c r="C38" s="11"/>
      <c r="E38" s="24"/>
      <c r="F38" s="24"/>
      <c r="G38" s="24"/>
    </row>
    <row r="40" spans="1:7" x14ac:dyDescent="0.2">
      <c r="A40" s="3" t="s">
        <v>166</v>
      </c>
      <c r="B40" s="4"/>
      <c r="C40" s="4"/>
      <c r="D40" s="4"/>
      <c r="E40" s="4"/>
    </row>
    <row r="41" spans="1:7" x14ac:dyDescent="0.2">
      <c r="A41" s="4"/>
      <c r="B41" s="4"/>
      <c r="C41" s="4"/>
      <c r="D41" s="4"/>
      <c r="E41" s="4"/>
    </row>
    <row r="42" spans="1:7" x14ac:dyDescent="0.2">
      <c r="A42" s="4" t="s">
        <v>41</v>
      </c>
      <c r="B42" s="4"/>
      <c r="C42" s="6" t="s">
        <v>10</v>
      </c>
      <c r="D42" s="4"/>
      <c r="E42" s="7">
        <v>3</v>
      </c>
    </row>
    <row r="43" spans="1:7" x14ac:dyDescent="0.2">
      <c r="A43" s="4" t="s">
        <v>42</v>
      </c>
      <c r="B43" s="4"/>
      <c r="C43" s="6" t="s">
        <v>16</v>
      </c>
      <c r="D43" s="4"/>
      <c r="E43" s="8">
        <v>0.05</v>
      </c>
    </row>
    <row r="44" spans="1:7" x14ac:dyDescent="0.2">
      <c r="A44" s="4" t="s">
        <v>43</v>
      </c>
      <c r="B44" s="4"/>
      <c r="C44" s="6" t="s">
        <v>16</v>
      </c>
      <c r="D44" s="4"/>
      <c r="E44" s="8">
        <v>0.5</v>
      </c>
    </row>
    <row r="45" spans="1:7" x14ac:dyDescent="0.2">
      <c r="A45" s="4"/>
      <c r="B45" s="4"/>
      <c r="C45" s="6"/>
      <c r="D45" s="4"/>
      <c r="E45" s="4"/>
    </row>
    <row r="46" spans="1:7" x14ac:dyDescent="0.2">
      <c r="A46" s="4" t="s">
        <v>44</v>
      </c>
      <c r="B46" s="4"/>
      <c r="C46" s="6" t="s">
        <v>10</v>
      </c>
      <c r="D46" s="4"/>
      <c r="E46" s="7">
        <v>15</v>
      </c>
    </row>
    <row r="47" spans="1:7" x14ac:dyDescent="0.2">
      <c r="A47" s="4" t="s">
        <v>45</v>
      </c>
      <c r="B47" s="4"/>
      <c r="C47" s="6" t="s">
        <v>16</v>
      </c>
      <c r="D47" s="4"/>
      <c r="E47" s="10">
        <v>6.5000000000000002E-2</v>
      </c>
    </row>
    <row r="48" spans="1:7" x14ac:dyDescent="0.2">
      <c r="A48" s="4" t="s">
        <v>46</v>
      </c>
      <c r="B48" s="4"/>
      <c r="C48" s="6" t="s">
        <v>16</v>
      </c>
      <c r="D48" s="4"/>
      <c r="E48" s="8">
        <v>0.59555420651468194</v>
      </c>
    </row>
    <row r="49" spans="1:7" x14ac:dyDescent="0.2">
      <c r="A49" s="4"/>
      <c r="B49" s="4"/>
      <c r="C49" s="4"/>
      <c r="D49" s="4"/>
      <c r="E49" s="4"/>
    </row>
    <row r="50" spans="1:7" x14ac:dyDescent="0.2">
      <c r="A50" s="4" t="s">
        <v>47</v>
      </c>
      <c r="B50" s="4"/>
      <c r="C50" s="4"/>
      <c r="D50" s="4"/>
      <c r="E50" s="4"/>
    </row>
    <row r="51" spans="1:7" x14ac:dyDescent="0.2">
      <c r="A51" s="4" t="s">
        <v>48</v>
      </c>
      <c r="B51" s="4"/>
      <c r="C51" s="4"/>
      <c r="D51" s="4"/>
      <c r="E51" s="4"/>
    </row>
    <row r="52" spans="1:7" x14ac:dyDescent="0.2">
      <c r="A52" s="4"/>
      <c r="B52" s="4"/>
      <c r="C52" s="4"/>
      <c r="D52" s="4"/>
      <c r="E52" s="4"/>
    </row>
    <row r="53" spans="1:7" x14ac:dyDescent="0.2">
      <c r="A53" s="4" t="s">
        <v>49</v>
      </c>
      <c r="B53" s="4"/>
      <c r="C53" s="4"/>
      <c r="D53" s="4"/>
      <c r="E53" s="4"/>
    </row>
    <row r="54" spans="1:7" x14ac:dyDescent="0.2">
      <c r="A54" s="4" t="s">
        <v>167</v>
      </c>
      <c r="B54" s="4"/>
      <c r="C54" s="4"/>
      <c r="D54" s="4"/>
      <c r="E54" s="4"/>
    </row>
    <row r="55" spans="1:7" x14ac:dyDescent="0.2">
      <c r="A55" s="4" t="s">
        <v>50</v>
      </c>
      <c r="B55" s="4"/>
      <c r="C55" s="4"/>
      <c r="D55" s="4"/>
      <c r="E55" s="4"/>
    </row>
    <row r="56" spans="1:7" x14ac:dyDescent="0.2">
      <c r="A56" s="4"/>
      <c r="B56" s="4"/>
      <c r="C56" s="4"/>
      <c r="D56" s="4"/>
      <c r="E56" s="4"/>
    </row>
    <row r="58" spans="1:7" x14ac:dyDescent="0.2">
      <c r="A58" s="3" t="s">
        <v>51</v>
      </c>
      <c r="B58" s="4"/>
      <c r="C58" s="4"/>
      <c r="D58" s="4"/>
      <c r="E58" s="4" t="s">
        <v>21</v>
      </c>
    </row>
    <row r="59" spans="1:7" x14ac:dyDescent="0.2">
      <c r="A59" s="4"/>
      <c r="B59" s="4"/>
      <c r="C59" s="4"/>
      <c r="D59" s="4"/>
      <c r="E59" s="4"/>
    </row>
    <row r="60" spans="1:7" x14ac:dyDescent="0.2">
      <c r="A60" s="4" t="s">
        <v>209</v>
      </c>
      <c r="B60" s="4"/>
      <c r="C60" s="6" t="s">
        <v>52</v>
      </c>
      <c r="D60" s="4"/>
      <c r="E60" s="6">
        <v>0</v>
      </c>
    </row>
    <row r="61" spans="1:7" x14ac:dyDescent="0.2">
      <c r="A61" s="4" t="s">
        <v>53</v>
      </c>
      <c r="B61" s="4"/>
      <c r="C61" s="6" t="s">
        <v>16</v>
      </c>
      <c r="D61" s="4"/>
      <c r="E61" s="10">
        <v>0</v>
      </c>
    </row>
    <row r="62" spans="1:7" x14ac:dyDescent="0.2">
      <c r="A62" s="4"/>
      <c r="B62" s="4"/>
      <c r="C62" s="4"/>
      <c r="D62" s="4"/>
      <c r="E62" s="4"/>
    </row>
    <row r="63" spans="1:7" x14ac:dyDescent="0.2">
      <c r="A63" s="3" t="s">
        <v>54</v>
      </c>
      <c r="B63" s="4"/>
      <c r="C63" s="4"/>
      <c r="D63" s="4"/>
      <c r="E63" s="4" t="s">
        <v>55</v>
      </c>
      <c r="G63" t="s">
        <v>56</v>
      </c>
    </row>
    <row r="64" spans="1:7" ht="16" thickBot="1" x14ac:dyDescent="0.25">
      <c r="A64" s="4"/>
      <c r="B64" s="4"/>
      <c r="C64" s="4"/>
      <c r="D64" s="4"/>
      <c r="E64" s="4"/>
    </row>
    <row r="65" spans="1:32" ht="16" thickBot="1" x14ac:dyDescent="0.25">
      <c r="A65" s="4" t="s">
        <v>209</v>
      </c>
      <c r="B65" s="4"/>
      <c r="C65" s="6" t="s">
        <v>57</v>
      </c>
      <c r="D65" s="4"/>
      <c r="E65" s="9">
        <v>35</v>
      </c>
      <c r="G65" s="25">
        <v>72.235086664974148</v>
      </c>
    </row>
    <row r="66" spans="1:32" x14ac:dyDescent="0.2">
      <c r="A66" s="4" t="s">
        <v>53</v>
      </c>
      <c r="B66" s="4"/>
      <c r="C66" s="6" t="s">
        <v>16</v>
      </c>
      <c r="D66" s="4"/>
      <c r="E66" s="10">
        <v>0</v>
      </c>
      <c r="G66" s="26">
        <v>0</v>
      </c>
    </row>
    <row r="69" spans="1:32" x14ac:dyDescent="0.2">
      <c r="A69" s="1" t="s">
        <v>210</v>
      </c>
    </row>
    <row r="71" spans="1:32" x14ac:dyDescent="0.2">
      <c r="A71" s="1" t="s">
        <v>58</v>
      </c>
      <c r="E71">
        <v>2025</v>
      </c>
      <c r="F71">
        <f t="shared" ref="F71:M71" si="1">+E71+1</f>
        <v>2026</v>
      </c>
      <c r="G71">
        <f t="shared" si="1"/>
        <v>2027</v>
      </c>
      <c r="H71">
        <f t="shared" si="1"/>
        <v>2028</v>
      </c>
      <c r="I71">
        <f t="shared" si="1"/>
        <v>2029</v>
      </c>
      <c r="J71">
        <f t="shared" si="1"/>
        <v>2030</v>
      </c>
      <c r="K71">
        <f t="shared" si="1"/>
        <v>2031</v>
      </c>
      <c r="L71">
        <f t="shared" si="1"/>
        <v>2032</v>
      </c>
      <c r="M71">
        <f t="shared" si="1"/>
        <v>2033</v>
      </c>
      <c r="N71">
        <v>2034</v>
      </c>
      <c r="O71">
        <f>+N71+1</f>
        <v>2035</v>
      </c>
      <c r="P71">
        <v>2036</v>
      </c>
      <c r="Q71">
        <v>2037</v>
      </c>
    </row>
    <row r="73" spans="1:32" x14ac:dyDescent="0.2">
      <c r="A73" t="s">
        <v>59</v>
      </c>
      <c r="H73">
        <v>1</v>
      </c>
      <c r="I73">
        <f>+H73+1</f>
        <v>2</v>
      </c>
      <c r="J73">
        <f t="shared" ref="J73:Q73" si="2">+I73+1</f>
        <v>3</v>
      </c>
      <c r="K73">
        <f t="shared" si="2"/>
        <v>4</v>
      </c>
      <c r="L73">
        <f t="shared" si="2"/>
        <v>5</v>
      </c>
      <c r="M73">
        <f t="shared" si="2"/>
        <v>6</v>
      </c>
      <c r="N73">
        <f t="shared" si="2"/>
        <v>7</v>
      </c>
      <c r="O73">
        <f t="shared" si="2"/>
        <v>8</v>
      </c>
      <c r="P73">
        <f t="shared" si="2"/>
        <v>9</v>
      </c>
      <c r="Q73">
        <f t="shared" si="2"/>
        <v>10</v>
      </c>
    </row>
    <row r="74" spans="1:32" x14ac:dyDescent="0.2">
      <c r="A74" t="s">
        <v>60</v>
      </c>
      <c r="E74">
        <v>1</v>
      </c>
      <c r="F74">
        <v>2</v>
      </c>
      <c r="G74">
        <v>3</v>
      </c>
    </row>
    <row r="76" spans="1:32" x14ac:dyDescent="0.2">
      <c r="A76" s="27" t="s">
        <v>61</v>
      </c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</row>
    <row r="77" spans="1:32" x14ac:dyDescent="0.2">
      <c r="A77" t="s">
        <v>62</v>
      </c>
      <c r="C77" s="11" t="s">
        <v>3</v>
      </c>
      <c r="E77" s="28"/>
      <c r="F77" s="28"/>
      <c r="G77" s="28"/>
      <c r="H77" s="29">
        <f>+$E$7</f>
        <v>280320</v>
      </c>
      <c r="I77" s="29">
        <f t="shared" ref="I77:Q77" si="3">+$E$7</f>
        <v>280320</v>
      </c>
      <c r="J77" s="29">
        <f t="shared" si="3"/>
        <v>280320</v>
      </c>
      <c r="K77" s="29">
        <f t="shared" si="3"/>
        <v>280320</v>
      </c>
      <c r="L77" s="29">
        <f t="shared" si="3"/>
        <v>280320</v>
      </c>
      <c r="M77" s="29">
        <f t="shared" si="3"/>
        <v>280320</v>
      </c>
      <c r="N77" s="29">
        <f t="shared" si="3"/>
        <v>280320</v>
      </c>
      <c r="O77" s="29">
        <f t="shared" si="3"/>
        <v>280320</v>
      </c>
      <c r="P77" s="29">
        <f t="shared" si="3"/>
        <v>280320</v>
      </c>
      <c r="Q77" s="29">
        <f t="shared" si="3"/>
        <v>280320</v>
      </c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</row>
    <row r="78" spans="1:32" x14ac:dyDescent="0.2">
      <c r="A78" t="s">
        <v>63</v>
      </c>
      <c r="C78" s="11" t="s">
        <v>57</v>
      </c>
      <c r="E78" s="30">
        <f>+G65</f>
        <v>72.235086664974148</v>
      </c>
      <c r="F78" s="31">
        <f>E78*1.025</f>
        <v>74.040963831598489</v>
      </c>
      <c r="G78" s="31">
        <f>F78*1.025</f>
        <v>75.891987927388442</v>
      </c>
      <c r="H78" s="31">
        <f t="shared" ref="H78:Q78" si="4">G78*1.025</f>
        <v>77.789287625573152</v>
      </c>
      <c r="I78" s="31">
        <f t="shared" si="4"/>
        <v>79.734019816212481</v>
      </c>
      <c r="J78" s="31">
        <f t="shared" si="4"/>
        <v>81.72737031161779</v>
      </c>
      <c r="K78" s="31">
        <f t="shared" si="4"/>
        <v>83.770554569408233</v>
      </c>
      <c r="L78" s="31">
        <f t="shared" si="4"/>
        <v>85.864818433643435</v>
      </c>
      <c r="M78" s="31">
        <f t="shared" si="4"/>
        <v>88.011438894484513</v>
      </c>
      <c r="N78" s="31">
        <f t="shared" si="4"/>
        <v>90.211724866846623</v>
      </c>
      <c r="O78" s="31">
        <f t="shared" si="4"/>
        <v>92.467017988517782</v>
      </c>
      <c r="P78" s="31">
        <f t="shared" si="4"/>
        <v>94.778693438230718</v>
      </c>
      <c r="Q78" s="31">
        <f t="shared" si="4"/>
        <v>97.148160774186479</v>
      </c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x14ac:dyDescent="0.2">
      <c r="A79" t="s">
        <v>64</v>
      </c>
      <c r="C79" s="11" t="s">
        <v>9</v>
      </c>
      <c r="E79" s="32"/>
      <c r="F79" s="32"/>
      <c r="G79" s="32"/>
      <c r="H79" s="33">
        <f>+H77*H78/1000000</f>
        <v>21.805893107200667</v>
      </c>
      <c r="I79" s="33">
        <f t="shared" ref="I79:Q79" si="5">+I77*I78/1000000</f>
        <v>22.35104043488068</v>
      </c>
      <c r="J79" s="33">
        <f t="shared" si="5"/>
        <v>22.9098164457527</v>
      </c>
      <c r="K79" s="33">
        <f t="shared" si="5"/>
        <v>23.482561856896517</v>
      </c>
      <c r="L79" s="33">
        <f t="shared" si="5"/>
        <v>24.069625903318926</v>
      </c>
      <c r="M79" s="33">
        <f t="shared" si="5"/>
        <v>24.671366550901897</v>
      </c>
      <c r="N79" s="33">
        <f t="shared" si="5"/>
        <v>25.288150714674448</v>
      </c>
      <c r="O79" s="33">
        <f t="shared" si="5"/>
        <v>25.920354482541303</v>
      </c>
      <c r="P79" s="33">
        <f t="shared" si="5"/>
        <v>26.568363344604833</v>
      </c>
      <c r="Q79" s="33">
        <f t="shared" si="5"/>
        <v>27.232572428219957</v>
      </c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</row>
    <row r="80" spans="1:32" x14ac:dyDescent="0.2">
      <c r="C80" s="11"/>
    </row>
    <row r="81" spans="1:32" x14ac:dyDescent="0.2">
      <c r="A81" s="27" t="s">
        <v>65</v>
      </c>
      <c r="C81" s="11"/>
    </row>
    <row r="82" spans="1:32" x14ac:dyDescent="0.2">
      <c r="A82" t="s">
        <v>66</v>
      </c>
      <c r="C82" s="11" t="s">
        <v>67</v>
      </c>
      <c r="E82" s="34">
        <f>+E9</f>
        <v>42</v>
      </c>
      <c r="F82" s="35">
        <f>+E82*(1+$E$17)</f>
        <v>43.05</v>
      </c>
      <c r="G82" s="35">
        <f t="shared" ref="G82:Q82" si="6">+F82*(1+$E$17)</f>
        <v>44.126249999999992</v>
      </c>
      <c r="H82" s="35">
        <f t="shared" si="6"/>
        <v>45.22940624999999</v>
      </c>
      <c r="I82" s="35">
        <f t="shared" si="6"/>
        <v>46.360141406249987</v>
      </c>
      <c r="J82" s="35">
        <f t="shared" si="6"/>
        <v>47.519144941406232</v>
      </c>
      <c r="K82" s="35">
        <f t="shared" si="6"/>
        <v>48.707123564941384</v>
      </c>
      <c r="L82" s="35">
        <f t="shared" si="6"/>
        <v>49.924801654064915</v>
      </c>
      <c r="M82" s="35">
        <f t="shared" si="6"/>
        <v>51.172921695416534</v>
      </c>
      <c r="N82" s="35">
        <f t="shared" si="6"/>
        <v>52.452244737801941</v>
      </c>
      <c r="O82" s="35">
        <f t="shared" si="6"/>
        <v>53.763550856246987</v>
      </c>
      <c r="P82" s="35">
        <f t="shared" si="6"/>
        <v>55.107639627653157</v>
      </c>
      <c r="Q82" s="35">
        <f t="shared" si="6"/>
        <v>56.485330618344484</v>
      </c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</row>
    <row r="83" spans="1:32" x14ac:dyDescent="0.2">
      <c r="A83" t="s">
        <v>66</v>
      </c>
      <c r="C83" s="11" t="s">
        <v>9</v>
      </c>
      <c r="H83" s="36">
        <f>+H82*$E$5*1000/1000000</f>
        <v>3.618352499999999</v>
      </c>
      <c r="I83" s="36">
        <f t="shared" ref="I83:Q83" si="7">+I82*$E$5*1000/1000000</f>
        <v>3.7088113124999991</v>
      </c>
      <c r="J83" s="36">
        <f t="shared" si="7"/>
        <v>3.8015315953124986</v>
      </c>
      <c r="K83" s="36">
        <f t="shared" si="7"/>
        <v>3.8965698851953108</v>
      </c>
      <c r="L83" s="36">
        <f t="shared" si="7"/>
        <v>3.9939841323251928</v>
      </c>
      <c r="M83" s="36">
        <f t="shared" si="7"/>
        <v>4.0938337356333223</v>
      </c>
      <c r="N83" s="36">
        <f t="shared" si="7"/>
        <v>4.1961795790241547</v>
      </c>
      <c r="O83" s="36">
        <f t="shared" si="7"/>
        <v>4.3010840684997591</v>
      </c>
      <c r="P83" s="36">
        <f t="shared" si="7"/>
        <v>4.4086111702122528</v>
      </c>
      <c r="Q83" s="36">
        <f t="shared" si="7"/>
        <v>4.5188264494675581</v>
      </c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</row>
    <row r="84" spans="1:32" x14ac:dyDescent="0.2">
      <c r="A84" t="s">
        <v>68</v>
      </c>
      <c r="C84" s="11" t="s">
        <v>57</v>
      </c>
      <c r="E84" s="34">
        <f>+E10</f>
        <v>0</v>
      </c>
      <c r="F84" s="35">
        <f>+E84*(1+$E$17)</f>
        <v>0</v>
      </c>
      <c r="G84" s="35">
        <f t="shared" ref="G84:M84" si="8">+F84*(1+$E$17)</f>
        <v>0</v>
      </c>
      <c r="H84" s="35">
        <f t="shared" si="8"/>
        <v>0</v>
      </c>
      <c r="I84" s="35">
        <f t="shared" si="8"/>
        <v>0</v>
      </c>
      <c r="J84" s="35">
        <f t="shared" si="8"/>
        <v>0</v>
      </c>
      <c r="K84" s="35">
        <f t="shared" si="8"/>
        <v>0</v>
      </c>
      <c r="L84" s="35">
        <f t="shared" si="8"/>
        <v>0</v>
      </c>
      <c r="M84" s="35">
        <f t="shared" si="8"/>
        <v>0</v>
      </c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</row>
    <row r="85" spans="1:32" x14ac:dyDescent="0.2">
      <c r="A85" t="s">
        <v>68</v>
      </c>
      <c r="C85" s="11" t="s">
        <v>9</v>
      </c>
      <c r="H85" s="37">
        <f>+H77*H84/1000000</f>
        <v>0</v>
      </c>
      <c r="I85" s="37">
        <f t="shared" ref="I85:M85" si="9">+I77*I84/1000000</f>
        <v>0</v>
      </c>
      <c r="J85" s="37">
        <f t="shared" si="9"/>
        <v>0</v>
      </c>
      <c r="K85" s="37">
        <f t="shared" si="9"/>
        <v>0</v>
      </c>
      <c r="L85" s="37">
        <f t="shared" si="9"/>
        <v>0</v>
      </c>
      <c r="M85" s="37">
        <f t="shared" si="9"/>
        <v>0</v>
      </c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</row>
    <row r="86" spans="1:32" x14ac:dyDescent="0.2">
      <c r="A86" t="s">
        <v>4</v>
      </c>
      <c r="C86" s="11" t="s">
        <v>5</v>
      </c>
      <c r="H86" s="34">
        <f>+$E$8</f>
        <v>0</v>
      </c>
      <c r="I86" s="34">
        <f t="shared" ref="I86:M86" si="10">+$E$8</f>
        <v>0</v>
      </c>
      <c r="J86" s="34">
        <f t="shared" si="10"/>
        <v>0</v>
      </c>
      <c r="K86" s="34">
        <f t="shared" si="10"/>
        <v>0</v>
      </c>
      <c r="L86" s="34">
        <f t="shared" si="10"/>
        <v>0</v>
      </c>
      <c r="M86" s="34">
        <f t="shared" si="10"/>
        <v>0</v>
      </c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</row>
    <row r="87" spans="1:32" x14ac:dyDescent="0.2">
      <c r="A87" t="s">
        <v>69</v>
      </c>
      <c r="C87" s="11" t="s">
        <v>70</v>
      </c>
      <c r="H87" s="38">
        <f>+H86*H77*1000/1000000</f>
        <v>0</v>
      </c>
      <c r="I87" s="38">
        <f t="shared" ref="I87:M87" si="11">+I86*I77*1000/1000000</f>
        <v>0</v>
      </c>
      <c r="J87" s="38">
        <f t="shared" si="11"/>
        <v>0</v>
      </c>
      <c r="K87" s="38">
        <f t="shared" si="11"/>
        <v>0</v>
      </c>
      <c r="L87" s="38">
        <f t="shared" si="11"/>
        <v>0</v>
      </c>
      <c r="M87" s="38">
        <f t="shared" si="11"/>
        <v>0</v>
      </c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</row>
    <row r="88" spans="1:32" x14ac:dyDescent="0.2">
      <c r="A88" t="s">
        <v>71</v>
      </c>
      <c r="C88" s="11" t="s">
        <v>52</v>
      </c>
      <c r="E88" s="35">
        <f>+E60</f>
        <v>0</v>
      </c>
      <c r="F88" s="35">
        <f>+E88*(1+$E$61)</f>
        <v>0</v>
      </c>
      <c r="G88" s="35">
        <f t="shared" ref="G88:M88" si="12">+F88*(1+$E$61)</f>
        <v>0</v>
      </c>
      <c r="H88" s="35">
        <f t="shared" si="12"/>
        <v>0</v>
      </c>
      <c r="I88" s="35">
        <f t="shared" si="12"/>
        <v>0</v>
      </c>
      <c r="J88" s="35">
        <f t="shared" si="12"/>
        <v>0</v>
      </c>
      <c r="K88" s="35">
        <f t="shared" si="12"/>
        <v>0</v>
      </c>
      <c r="L88" s="35">
        <f t="shared" si="12"/>
        <v>0</v>
      </c>
      <c r="M88" s="35">
        <f t="shared" si="12"/>
        <v>0</v>
      </c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</row>
    <row r="89" spans="1:32" x14ac:dyDescent="0.2">
      <c r="A89" t="s">
        <v>72</v>
      </c>
      <c r="C89" s="11" t="s">
        <v>9</v>
      </c>
      <c r="H89" s="39">
        <f>+H87*H88/1000000</f>
        <v>0</v>
      </c>
      <c r="I89" s="39">
        <f t="shared" ref="I89:M89" si="13">+I87*I88/1000000</f>
        <v>0</v>
      </c>
      <c r="J89" s="39">
        <f t="shared" si="13"/>
        <v>0</v>
      </c>
      <c r="K89" s="39">
        <f t="shared" si="13"/>
        <v>0</v>
      </c>
      <c r="L89" s="39">
        <f t="shared" si="13"/>
        <v>0</v>
      </c>
      <c r="M89" s="39">
        <f t="shared" si="13"/>
        <v>0</v>
      </c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</row>
    <row r="90" spans="1:32" x14ac:dyDescent="0.2">
      <c r="A90" t="s">
        <v>73</v>
      </c>
      <c r="C90" s="11" t="s">
        <v>9</v>
      </c>
      <c r="H90" s="40">
        <f>+H83+H85+H89</f>
        <v>3.618352499999999</v>
      </c>
      <c r="I90" s="40">
        <f t="shared" ref="I90:Q90" si="14">+I83+I85+I89</f>
        <v>3.7088113124999991</v>
      </c>
      <c r="J90" s="40">
        <f t="shared" si="14"/>
        <v>3.8015315953124986</v>
      </c>
      <c r="K90" s="40">
        <f t="shared" si="14"/>
        <v>3.8965698851953108</v>
      </c>
      <c r="L90" s="40">
        <f t="shared" si="14"/>
        <v>3.9939841323251928</v>
      </c>
      <c r="M90" s="40">
        <f t="shared" si="14"/>
        <v>4.0938337356333223</v>
      </c>
      <c r="N90" s="40">
        <f t="shared" si="14"/>
        <v>4.1961795790241547</v>
      </c>
      <c r="O90" s="40">
        <f t="shared" si="14"/>
        <v>4.3010840684997591</v>
      </c>
      <c r="P90" s="40">
        <f t="shared" si="14"/>
        <v>4.4086111702122528</v>
      </c>
      <c r="Q90" s="40">
        <f t="shared" si="14"/>
        <v>4.5188264494675581</v>
      </c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</row>
    <row r="91" spans="1:32" x14ac:dyDescent="0.2">
      <c r="C91" s="11"/>
    </row>
    <row r="92" spans="1:32" x14ac:dyDescent="0.2">
      <c r="A92" s="27" t="s">
        <v>74</v>
      </c>
      <c r="C92" s="11" t="s">
        <v>9</v>
      </c>
      <c r="H92" s="40">
        <f>+H79-H90</f>
        <v>18.187540607200667</v>
      </c>
      <c r="I92" s="40">
        <f t="shared" ref="I92:Q92" si="15">+I79-I90</f>
        <v>18.64222912238068</v>
      </c>
      <c r="J92" s="40">
        <f t="shared" si="15"/>
        <v>19.108284850440199</v>
      </c>
      <c r="K92" s="40">
        <f t="shared" si="15"/>
        <v>19.585991971701205</v>
      </c>
      <c r="L92" s="40">
        <f t="shared" si="15"/>
        <v>20.075641770993734</v>
      </c>
      <c r="M92" s="40">
        <f t="shared" si="15"/>
        <v>20.577532815268576</v>
      </c>
      <c r="N92" s="40">
        <f t="shared" si="15"/>
        <v>21.091971135650294</v>
      </c>
      <c r="O92" s="40">
        <f t="shared" si="15"/>
        <v>21.619270414041544</v>
      </c>
      <c r="P92" s="40">
        <f t="shared" si="15"/>
        <v>22.15975217439258</v>
      </c>
      <c r="Q92" s="40">
        <f t="shared" si="15"/>
        <v>22.713745978752399</v>
      </c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</row>
    <row r="93" spans="1:32" x14ac:dyDescent="0.2">
      <c r="A93" s="27"/>
      <c r="C93" s="1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</row>
    <row r="94" spans="1:32" x14ac:dyDescent="0.2">
      <c r="A94" t="s">
        <v>75</v>
      </c>
      <c r="C94" s="11"/>
      <c r="G94" s="75">
        <f>-H90*0.5</f>
        <v>-1.8091762499999995</v>
      </c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</row>
    <row r="95" spans="1:32" x14ac:dyDescent="0.2">
      <c r="C95" s="11"/>
    </row>
    <row r="96" spans="1:32" x14ac:dyDescent="0.2">
      <c r="A96" t="s">
        <v>76</v>
      </c>
      <c r="C96" s="11" t="s">
        <v>9</v>
      </c>
      <c r="E96" s="42">
        <f>-E35</f>
        <v>-12.600000000000001</v>
      </c>
      <c r="F96" s="42">
        <f t="shared" ref="F96" si="16">-F35</f>
        <v>-50.400000000000006</v>
      </c>
      <c r="G96" s="42">
        <f>G94-G35</f>
        <v>-64.809176249999993</v>
      </c>
      <c r="H96" s="42">
        <f>+H92</f>
        <v>18.187540607200667</v>
      </c>
      <c r="I96" s="42">
        <f t="shared" ref="I96:Q96" si="17">+I92</f>
        <v>18.64222912238068</v>
      </c>
      <c r="J96" s="42">
        <f t="shared" si="17"/>
        <v>19.108284850440199</v>
      </c>
      <c r="K96" s="42">
        <f t="shared" si="17"/>
        <v>19.585991971701205</v>
      </c>
      <c r="L96" s="42">
        <f t="shared" si="17"/>
        <v>20.075641770993734</v>
      </c>
      <c r="M96" s="42">
        <f t="shared" si="17"/>
        <v>20.577532815268576</v>
      </c>
      <c r="N96" s="42">
        <f t="shared" si="17"/>
        <v>21.091971135650294</v>
      </c>
      <c r="O96" s="42">
        <f t="shared" si="17"/>
        <v>21.619270414041544</v>
      </c>
      <c r="P96" s="42">
        <f t="shared" si="17"/>
        <v>22.15975217439258</v>
      </c>
      <c r="Q96" s="42">
        <f t="shared" si="17"/>
        <v>22.713745978752399</v>
      </c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</row>
    <row r="97" spans="1:32" x14ac:dyDescent="0.2">
      <c r="A97" t="s">
        <v>230</v>
      </c>
      <c r="C97" s="11">
        <v>7.5</v>
      </c>
      <c r="Q97" s="80">
        <f>+Q96*C97</f>
        <v>170.353094840643</v>
      </c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</row>
    <row r="98" spans="1:32" x14ac:dyDescent="0.2">
      <c r="C98" s="11"/>
      <c r="E98" s="81">
        <f>+E96</f>
        <v>-12.600000000000001</v>
      </c>
      <c r="F98">
        <v>-50.400000000000006</v>
      </c>
      <c r="G98">
        <v>-64.809176249999993</v>
      </c>
      <c r="H98">
        <v>18.187540607200667</v>
      </c>
      <c r="I98">
        <v>18.64222912238068</v>
      </c>
      <c r="J98">
        <v>19.108284850440199</v>
      </c>
      <c r="K98">
        <v>19.585991971701205</v>
      </c>
      <c r="L98">
        <v>20.075641770993734</v>
      </c>
      <c r="M98">
        <v>20.577532815268576</v>
      </c>
      <c r="N98">
        <v>21.091971135650294</v>
      </c>
      <c r="O98">
        <v>21.619270414041544</v>
      </c>
      <c r="P98">
        <v>22.15975217439258</v>
      </c>
      <c r="Q98" s="81">
        <f>Q97+Q96</f>
        <v>193.0668408193954</v>
      </c>
    </row>
    <row r="99" spans="1:32" x14ac:dyDescent="0.2">
      <c r="A99" t="s">
        <v>77</v>
      </c>
      <c r="C99" s="11" t="s">
        <v>16</v>
      </c>
      <c r="E99" s="60">
        <f>+IRR(E98:AF98)</f>
        <v>0.15256511826233488</v>
      </c>
      <c r="G99" s="81">
        <f>SUM(E96:P96)</f>
        <v>53.239038612069479</v>
      </c>
    </row>
    <row r="100" spans="1:32" x14ac:dyDescent="0.2">
      <c r="A100" t="s">
        <v>78</v>
      </c>
      <c r="C100" s="11" t="s">
        <v>9</v>
      </c>
      <c r="E100" s="43">
        <f>+NPV(0.1,E98:AF98)</f>
        <v>39.821975269120621</v>
      </c>
      <c r="G100">
        <v>49.2</v>
      </c>
    </row>
    <row r="102" spans="1:32" x14ac:dyDescent="0.2">
      <c r="A102" s="1" t="s">
        <v>79</v>
      </c>
    </row>
    <row r="104" spans="1:32" x14ac:dyDescent="0.2">
      <c r="A104" s="27" t="s">
        <v>80</v>
      </c>
    </row>
    <row r="105" spans="1:32" x14ac:dyDescent="0.2">
      <c r="A105" t="s">
        <v>41</v>
      </c>
      <c r="C105" s="11" t="s">
        <v>10</v>
      </c>
      <c r="D105" s="44">
        <f>+E42</f>
        <v>3</v>
      </c>
    </row>
    <row r="106" spans="1:32" x14ac:dyDescent="0.2">
      <c r="A106" t="s">
        <v>42</v>
      </c>
      <c r="C106" s="11" t="s">
        <v>16</v>
      </c>
      <c r="D106" s="45">
        <f>+E43</f>
        <v>0.05</v>
      </c>
    </row>
    <row r="107" spans="1:32" x14ac:dyDescent="0.2">
      <c r="A107" t="s">
        <v>43</v>
      </c>
      <c r="C107" s="11" t="s">
        <v>16</v>
      </c>
      <c r="D107" s="45">
        <f>+E44</f>
        <v>0.5</v>
      </c>
    </row>
    <row r="108" spans="1:32" x14ac:dyDescent="0.2">
      <c r="D108" s="22"/>
    </row>
    <row r="109" spans="1:32" x14ac:dyDescent="0.2">
      <c r="A109" s="27" t="s">
        <v>81</v>
      </c>
      <c r="D109" s="22"/>
    </row>
    <row r="110" spans="1:32" x14ac:dyDescent="0.2">
      <c r="A110" t="s">
        <v>82</v>
      </c>
      <c r="C110" s="11" t="s">
        <v>12</v>
      </c>
      <c r="D110" s="22"/>
      <c r="E110" s="11" t="s">
        <v>13</v>
      </c>
      <c r="F110" s="11" t="s">
        <v>14</v>
      </c>
      <c r="G110" s="11" t="s">
        <v>15</v>
      </c>
      <c r="I110" s="11" t="s">
        <v>83</v>
      </c>
    </row>
    <row r="111" spans="1:32" x14ac:dyDescent="0.2">
      <c r="A111" t="s">
        <v>82</v>
      </c>
      <c r="C111" s="11" t="s">
        <v>16</v>
      </c>
      <c r="D111" s="22"/>
      <c r="E111" s="45">
        <f>+E34</f>
        <v>0.1</v>
      </c>
      <c r="F111" s="45">
        <f>+F34</f>
        <v>0.4</v>
      </c>
      <c r="G111" s="45">
        <v>0.5</v>
      </c>
      <c r="I111" s="46">
        <f>+SUM(E111:G111)</f>
        <v>1</v>
      </c>
    </row>
    <row r="112" spans="1:32" x14ac:dyDescent="0.2">
      <c r="A112" t="s">
        <v>82</v>
      </c>
      <c r="C112" s="11" t="s">
        <v>9</v>
      </c>
      <c r="E112" s="23">
        <f>+E35</f>
        <v>12.600000000000001</v>
      </c>
      <c r="F112" s="23">
        <f>+F35</f>
        <v>50.400000000000006</v>
      </c>
      <c r="G112" s="23">
        <f>+G35</f>
        <v>63</v>
      </c>
      <c r="I112" s="47">
        <f>+SUM(E112:G112)</f>
        <v>126</v>
      </c>
    </row>
    <row r="114" spans="1:7" x14ac:dyDescent="0.2">
      <c r="A114" s="27" t="s">
        <v>84</v>
      </c>
      <c r="E114" s="11" t="s">
        <v>13</v>
      </c>
      <c r="F114" s="11" t="s">
        <v>14</v>
      </c>
      <c r="G114" s="11" t="s">
        <v>15</v>
      </c>
    </row>
    <row r="115" spans="1:7" x14ac:dyDescent="0.2">
      <c r="A115" t="s">
        <v>85</v>
      </c>
      <c r="C115" s="11" t="s">
        <v>9</v>
      </c>
      <c r="E115" s="39">
        <v>0</v>
      </c>
      <c r="F115" s="39">
        <f>+E120</f>
        <v>6.4575000000000005</v>
      </c>
      <c r="G115" s="39">
        <f>+F120</f>
        <v>32.610375000000005</v>
      </c>
    </row>
    <row r="116" spans="1:7" x14ac:dyDescent="0.2">
      <c r="A116" t="s">
        <v>86</v>
      </c>
      <c r="C116" s="11" t="s">
        <v>9</v>
      </c>
      <c r="E116" s="39">
        <f>+E112*$D$107</f>
        <v>6.3000000000000007</v>
      </c>
      <c r="F116" s="39">
        <f>+F112*$D$107</f>
        <v>25.200000000000003</v>
      </c>
      <c r="G116" s="39">
        <f>+G112*$D$107</f>
        <v>31.5</v>
      </c>
    </row>
    <row r="117" spans="1:7" x14ac:dyDescent="0.2">
      <c r="A117" t="s">
        <v>87</v>
      </c>
      <c r="C117" s="11" t="s">
        <v>9</v>
      </c>
      <c r="E117" s="39">
        <f>+E115+E116</f>
        <v>6.3000000000000007</v>
      </c>
      <c r="F117" s="39">
        <f>+F115+F116</f>
        <v>31.657500000000002</v>
      </c>
      <c r="G117" s="39">
        <f>+G115+G116</f>
        <v>64.110375000000005</v>
      </c>
    </row>
    <row r="118" spans="1:7" x14ac:dyDescent="0.2">
      <c r="A118" t="s">
        <v>88</v>
      </c>
      <c r="C118" s="11" t="s">
        <v>9</v>
      </c>
      <c r="E118" s="39">
        <f>+(E115+E117)/2</f>
        <v>3.1500000000000004</v>
      </c>
      <c r="F118" s="39">
        <f>+(F115+F117)/2</f>
        <v>19.057500000000001</v>
      </c>
      <c r="G118" s="39">
        <f>+(G115+G117)/2</f>
        <v>48.360375000000005</v>
      </c>
    </row>
    <row r="119" spans="1:7" x14ac:dyDescent="0.2">
      <c r="A119" t="s">
        <v>89</v>
      </c>
      <c r="C119" s="11" t="s">
        <v>9</v>
      </c>
      <c r="E119" s="39">
        <f>+E118*$D$106</f>
        <v>0.15750000000000003</v>
      </c>
      <c r="F119" s="39">
        <f>+F118*$D$106</f>
        <v>0.95287500000000014</v>
      </c>
      <c r="G119" s="39">
        <f>+G118*$D$106</f>
        <v>2.4180187500000003</v>
      </c>
    </row>
    <row r="120" spans="1:7" x14ac:dyDescent="0.2">
      <c r="A120" t="s">
        <v>90</v>
      </c>
      <c r="C120" s="11" t="s">
        <v>9</v>
      </c>
      <c r="E120" s="39">
        <f>+E117+E119</f>
        <v>6.4575000000000005</v>
      </c>
      <c r="F120" s="39">
        <f>+F117+F119</f>
        <v>32.610375000000005</v>
      </c>
      <c r="G120" s="39">
        <f>+G117+G119</f>
        <v>66.528393750000006</v>
      </c>
    </row>
    <row r="122" spans="1:7" x14ac:dyDescent="0.2">
      <c r="E122" s="11" t="s">
        <v>13</v>
      </c>
      <c r="F122" s="11" t="s">
        <v>14</v>
      </c>
      <c r="G122" s="11" t="s">
        <v>15</v>
      </c>
    </row>
    <row r="123" spans="1:7" x14ac:dyDescent="0.2">
      <c r="A123" t="s">
        <v>91</v>
      </c>
      <c r="C123" s="11" t="s">
        <v>9</v>
      </c>
      <c r="E123" s="37">
        <f>+E112-E116</f>
        <v>6.3000000000000007</v>
      </c>
      <c r="F123" s="37">
        <f t="shared" ref="F123:G123" si="18">+F112-F116</f>
        <v>25.200000000000003</v>
      </c>
      <c r="G123" s="37">
        <f t="shared" si="18"/>
        <v>31.5</v>
      </c>
    </row>
    <row r="124" spans="1:7" x14ac:dyDescent="0.2">
      <c r="A124" t="s">
        <v>92</v>
      </c>
      <c r="C124" s="11" t="s">
        <v>9</v>
      </c>
      <c r="E124" s="37">
        <f>+E123</f>
        <v>6.3000000000000007</v>
      </c>
      <c r="F124" s="37">
        <f>+E124+F123</f>
        <v>31.500000000000004</v>
      </c>
      <c r="G124" s="37">
        <f>+F124+G123</f>
        <v>63</v>
      </c>
    </row>
    <row r="126" spans="1:7" x14ac:dyDescent="0.2">
      <c r="A126" t="s">
        <v>93</v>
      </c>
      <c r="E126" s="11" t="s">
        <v>13</v>
      </c>
      <c r="F126" s="11" t="s">
        <v>14</v>
      </c>
      <c r="G126" s="11" t="s">
        <v>15</v>
      </c>
    </row>
    <row r="127" spans="1:7" x14ac:dyDescent="0.2">
      <c r="A127" t="s">
        <v>94</v>
      </c>
      <c r="C127" s="11" t="s">
        <v>9</v>
      </c>
      <c r="E127" s="40">
        <f>+E120</f>
        <v>6.4575000000000005</v>
      </c>
      <c r="F127" s="40">
        <f>+F120</f>
        <v>32.610375000000005</v>
      </c>
      <c r="G127" s="40">
        <f>+G120</f>
        <v>66.528393750000006</v>
      </c>
    </row>
    <row r="128" spans="1:7" x14ac:dyDescent="0.2">
      <c r="A128" t="s">
        <v>95</v>
      </c>
      <c r="C128" s="11" t="s">
        <v>9</v>
      </c>
      <c r="E128" s="37">
        <f>+E123</f>
        <v>6.3000000000000007</v>
      </c>
      <c r="F128" s="37">
        <f>+F124</f>
        <v>31.500000000000004</v>
      </c>
      <c r="G128" s="37">
        <f>+G124</f>
        <v>63</v>
      </c>
    </row>
    <row r="129" spans="1:7" x14ac:dyDescent="0.2">
      <c r="A129" t="s">
        <v>96</v>
      </c>
      <c r="C129" s="11" t="s">
        <v>9</v>
      </c>
      <c r="E129" s="40">
        <f>SUM(E127:E128)</f>
        <v>12.7575</v>
      </c>
      <c r="F129" s="40">
        <f>SUM(F127:F128)</f>
        <v>64.110375000000005</v>
      </c>
      <c r="G129" s="40">
        <f>SUM(G127:G128)</f>
        <v>129.52839375000002</v>
      </c>
    </row>
    <row r="130" spans="1:7" x14ac:dyDescent="0.2">
      <c r="C130" s="11"/>
    </row>
    <row r="131" spans="1:7" x14ac:dyDescent="0.2">
      <c r="A131" s="27" t="s">
        <v>97</v>
      </c>
      <c r="C131" s="11"/>
    </row>
    <row r="132" spans="1:7" x14ac:dyDescent="0.2">
      <c r="G132" s="48"/>
    </row>
    <row r="133" spans="1:7" x14ac:dyDescent="0.2">
      <c r="A133" t="s">
        <v>98</v>
      </c>
      <c r="G133" s="48"/>
    </row>
    <row r="134" spans="1:7" x14ac:dyDescent="0.2">
      <c r="A134" t="s">
        <v>44</v>
      </c>
      <c r="C134" s="11" t="s">
        <v>10</v>
      </c>
      <c r="D134" s="44">
        <f>+E46</f>
        <v>15</v>
      </c>
      <c r="G134" s="48"/>
    </row>
    <row r="135" spans="1:7" x14ac:dyDescent="0.2">
      <c r="A135" t="s">
        <v>45</v>
      </c>
      <c r="C135" s="11" t="s">
        <v>16</v>
      </c>
      <c r="D135" s="64">
        <f>+E47</f>
        <v>6.5000000000000002E-2</v>
      </c>
      <c r="G135" s="48"/>
    </row>
    <row r="136" spans="1:7" x14ac:dyDescent="0.2">
      <c r="A136" t="s">
        <v>46</v>
      </c>
      <c r="C136" s="11" t="s">
        <v>16</v>
      </c>
      <c r="D136" s="45">
        <f>+E48</f>
        <v>0.59555420651468194</v>
      </c>
      <c r="G136" s="48"/>
    </row>
    <row r="137" spans="1:7" x14ac:dyDescent="0.2">
      <c r="G137" s="48"/>
    </row>
    <row r="138" spans="1:7" x14ac:dyDescent="0.2">
      <c r="A138" t="s">
        <v>99</v>
      </c>
      <c r="G138" s="48"/>
    </row>
    <row r="139" spans="1:7" x14ac:dyDescent="0.2">
      <c r="A139" t="s">
        <v>100</v>
      </c>
      <c r="C139" s="11" t="s">
        <v>9</v>
      </c>
      <c r="G139" s="39">
        <f>+G129*D136</f>
        <v>77.141179760902546</v>
      </c>
    </row>
    <row r="140" spans="1:7" x14ac:dyDescent="0.2">
      <c r="A140" t="s">
        <v>101</v>
      </c>
      <c r="C140" s="11" t="s">
        <v>9</v>
      </c>
      <c r="G140" s="39">
        <f>+G128</f>
        <v>63</v>
      </c>
    </row>
    <row r="141" spans="1:7" x14ac:dyDescent="0.2">
      <c r="A141" t="s">
        <v>102</v>
      </c>
      <c r="C141" s="11" t="s">
        <v>9</v>
      </c>
      <c r="G141" s="39">
        <f>+G139-G140</f>
        <v>14.141179760902546</v>
      </c>
    </row>
    <row r="142" spans="1:7" x14ac:dyDescent="0.2">
      <c r="A142" t="s">
        <v>103</v>
      </c>
      <c r="C142" s="11" t="s">
        <v>9</v>
      </c>
      <c r="G142" s="39">
        <f>+G140+G141</f>
        <v>77.141179760902546</v>
      </c>
    </row>
    <row r="143" spans="1:7" x14ac:dyDescent="0.2">
      <c r="A143" t="s">
        <v>104</v>
      </c>
      <c r="C143" s="11" t="s">
        <v>9</v>
      </c>
      <c r="G143" s="40">
        <f>+G139+G142</f>
        <v>154.28235952180509</v>
      </c>
    </row>
    <row r="144" spans="1:7" x14ac:dyDescent="0.2">
      <c r="G144" s="48"/>
    </row>
    <row r="145" spans="1:22" x14ac:dyDescent="0.2">
      <c r="A145" t="s">
        <v>105</v>
      </c>
      <c r="G145" s="49"/>
    </row>
    <row r="146" spans="1:22" x14ac:dyDescent="0.2">
      <c r="A146" t="s">
        <v>106</v>
      </c>
      <c r="C146" s="11" t="s">
        <v>9</v>
      </c>
      <c r="D146" s="50">
        <v>6</v>
      </c>
      <c r="E146" t="s">
        <v>107</v>
      </c>
      <c r="G146" s="51">
        <f>-D146/12*H158</f>
        <v>4.1020895743900692</v>
      </c>
    </row>
    <row r="147" spans="1:22" x14ac:dyDescent="0.2">
      <c r="A147" t="s">
        <v>108</v>
      </c>
      <c r="C147" s="11" t="s">
        <v>9</v>
      </c>
      <c r="D147" s="50">
        <v>6</v>
      </c>
      <c r="E147" t="s">
        <v>107</v>
      </c>
      <c r="G147" s="37">
        <f>+D147/12*H90</f>
        <v>1.8091762499999995</v>
      </c>
    </row>
    <row r="148" spans="1:22" x14ac:dyDescent="0.2">
      <c r="A148" t="s">
        <v>109</v>
      </c>
      <c r="C148" s="11" t="s">
        <v>9</v>
      </c>
      <c r="G148" s="37">
        <f>+G146+G147</f>
        <v>5.9112658243900684</v>
      </c>
    </row>
    <row r="149" spans="1:22" x14ac:dyDescent="0.2">
      <c r="G149" s="52"/>
    </row>
    <row r="150" spans="1:22" x14ac:dyDescent="0.2">
      <c r="A150" t="s">
        <v>110</v>
      </c>
      <c r="C150" s="11" t="s">
        <v>9</v>
      </c>
      <c r="G150" s="37">
        <f>+G142+G148</f>
        <v>83.052445585292617</v>
      </c>
    </row>
    <row r="152" spans="1:22" x14ac:dyDescent="0.2">
      <c r="A152" t="s">
        <v>111</v>
      </c>
      <c r="H152" s="53">
        <v>1</v>
      </c>
      <c r="I152" s="53">
        <f>+H152+1</f>
        <v>2</v>
      </c>
      <c r="J152" s="53">
        <f t="shared" ref="J152:M152" si="19">+I152+1</f>
        <v>3</v>
      </c>
      <c r="K152" s="53">
        <f t="shared" si="19"/>
        <v>4</v>
      </c>
      <c r="L152" s="53">
        <f t="shared" si="19"/>
        <v>5</v>
      </c>
      <c r="M152" s="53">
        <f t="shared" si="19"/>
        <v>6</v>
      </c>
      <c r="N152" s="53">
        <v>7</v>
      </c>
      <c r="O152" s="53">
        <v>8</v>
      </c>
      <c r="P152" s="53">
        <v>9</v>
      </c>
      <c r="Q152" s="53">
        <f t="shared" ref="Q152" si="20">+P152+1</f>
        <v>10</v>
      </c>
      <c r="R152" s="53"/>
      <c r="S152" s="53"/>
      <c r="T152" s="53"/>
      <c r="U152" s="53"/>
      <c r="V152" s="53"/>
    </row>
    <row r="154" spans="1:22" x14ac:dyDescent="0.2">
      <c r="A154" t="s">
        <v>112</v>
      </c>
      <c r="C154" s="11" t="s">
        <v>9</v>
      </c>
      <c r="H154" s="37">
        <f>+G139</f>
        <v>77.141179760902546</v>
      </c>
      <c r="I154" s="51">
        <f>+H160</f>
        <v>73.951177296581079</v>
      </c>
      <c r="J154" s="51">
        <f t="shared" ref="J154:M154" si="21">+I160</f>
        <v>70.553824672078719</v>
      </c>
      <c r="K154" s="51">
        <f t="shared" si="21"/>
        <v>66.935644126983703</v>
      </c>
      <c r="L154" s="51">
        <f t="shared" si="21"/>
        <v>63.082281846457505</v>
      </c>
      <c r="M154" s="51">
        <f t="shared" si="21"/>
        <v>58.978451017697104</v>
      </c>
      <c r="N154" s="37">
        <f t="shared" ref="N154" si="22">+M139</f>
        <v>0</v>
      </c>
      <c r="O154" s="51">
        <f t="shared" ref="O154:Q154" si="23">+N160</f>
        <v>-4.654667521750766</v>
      </c>
      <c r="P154" s="51">
        <f t="shared" si="23"/>
        <v>-9.6118884324153306</v>
      </c>
      <c r="Q154" s="51">
        <f t="shared" si="23"/>
        <v>-14.891328702273093</v>
      </c>
      <c r="R154" s="51"/>
      <c r="S154" s="51"/>
      <c r="T154" s="37"/>
      <c r="U154" s="51"/>
      <c r="V154" s="51"/>
    </row>
    <row r="155" spans="1:22" x14ac:dyDescent="0.2">
      <c r="C155" s="11"/>
    </row>
    <row r="156" spans="1:22" x14ac:dyDescent="0.2">
      <c r="A156" t="s">
        <v>113</v>
      </c>
      <c r="C156" s="11" t="s">
        <v>9</v>
      </c>
      <c r="H156" s="51">
        <f>+PPMT($D$135,H152,$D$134,$G$139)</f>
        <v>-3.1900024643214722</v>
      </c>
      <c r="I156" s="51">
        <f t="shared" ref="I156:Q156" si="24">+PPMT($D$135,I152,$D$134,$G$139)</f>
        <v>-3.3973526245023673</v>
      </c>
      <c r="J156" s="51">
        <f t="shared" si="24"/>
        <v>-3.6181805450950217</v>
      </c>
      <c r="K156" s="51">
        <f t="shared" si="24"/>
        <v>-3.853362280526198</v>
      </c>
      <c r="L156" s="51">
        <f t="shared" si="24"/>
        <v>-4.1038308287604011</v>
      </c>
      <c r="M156" s="51">
        <f t="shared" si="24"/>
        <v>-4.3705798326298266</v>
      </c>
      <c r="N156" s="51">
        <f t="shared" si="24"/>
        <v>-4.654667521750766</v>
      </c>
      <c r="O156" s="51">
        <f t="shared" si="24"/>
        <v>-4.9572209106645655</v>
      </c>
      <c r="P156" s="51">
        <f t="shared" si="24"/>
        <v>-5.2794402698577629</v>
      </c>
      <c r="Q156" s="51">
        <f t="shared" si="24"/>
        <v>-5.6226038873985171</v>
      </c>
      <c r="R156" s="51"/>
      <c r="S156" s="51"/>
      <c r="T156" s="51"/>
      <c r="U156" s="51"/>
      <c r="V156" s="51"/>
    </row>
    <row r="157" spans="1:22" x14ac:dyDescent="0.2">
      <c r="A157" t="s">
        <v>114</v>
      </c>
      <c r="C157" s="11" t="s">
        <v>9</v>
      </c>
      <c r="H157" s="51">
        <f>+IPMT($D$135,H152,$D$134,$G$139)</f>
        <v>-5.0141766844586657</v>
      </c>
      <c r="I157" s="51">
        <f t="shared" ref="I157:Q157" si="25">+IPMT($D$135,I152,$D$134,$G$139)</f>
        <v>-4.8068265242777706</v>
      </c>
      <c r="J157" s="51">
        <f t="shared" si="25"/>
        <v>-4.585998603685117</v>
      </c>
      <c r="K157" s="51">
        <f t="shared" si="25"/>
        <v>-4.3508168682539399</v>
      </c>
      <c r="L157" s="51">
        <f t="shared" si="25"/>
        <v>-4.1003483200197381</v>
      </c>
      <c r="M157" s="51">
        <f t="shared" si="25"/>
        <v>-3.8335993161503108</v>
      </c>
      <c r="N157" s="51">
        <f t="shared" si="25"/>
        <v>-3.5495116270293727</v>
      </c>
      <c r="O157" s="51">
        <f t="shared" si="25"/>
        <v>-3.2469582381155728</v>
      </c>
      <c r="P157" s="51">
        <f t="shared" si="25"/>
        <v>-2.9247388789223758</v>
      </c>
      <c r="Q157" s="51">
        <f t="shared" si="25"/>
        <v>-2.5815752613816216</v>
      </c>
      <c r="R157" s="51"/>
      <c r="S157" s="51"/>
      <c r="T157" s="51"/>
      <c r="U157" s="51"/>
      <c r="V157" s="51"/>
    </row>
    <row r="158" spans="1:22" x14ac:dyDescent="0.2">
      <c r="A158" t="s">
        <v>115</v>
      </c>
      <c r="C158" s="11" t="s">
        <v>9</v>
      </c>
      <c r="H158" s="51">
        <f>SUM(H156:H157)</f>
        <v>-8.2041791487801383</v>
      </c>
      <c r="I158" s="51">
        <f t="shared" ref="I158:Q158" si="26">SUM(I156:I157)</f>
        <v>-8.2041791487801383</v>
      </c>
      <c r="J158" s="51">
        <f t="shared" si="26"/>
        <v>-8.2041791487801383</v>
      </c>
      <c r="K158" s="51">
        <f t="shared" si="26"/>
        <v>-8.2041791487801383</v>
      </c>
      <c r="L158" s="51">
        <f t="shared" si="26"/>
        <v>-8.2041791487801383</v>
      </c>
      <c r="M158" s="51">
        <f t="shared" si="26"/>
        <v>-8.2041791487801383</v>
      </c>
      <c r="N158" s="51">
        <f t="shared" si="26"/>
        <v>-8.2041791487801383</v>
      </c>
      <c r="O158" s="51">
        <f t="shared" si="26"/>
        <v>-8.2041791487801383</v>
      </c>
      <c r="P158" s="51">
        <f t="shared" si="26"/>
        <v>-8.2041791487801383</v>
      </c>
      <c r="Q158" s="51">
        <f t="shared" si="26"/>
        <v>-8.2041791487801383</v>
      </c>
      <c r="R158" s="51"/>
      <c r="S158" s="51"/>
      <c r="T158" s="51"/>
      <c r="U158" s="51"/>
      <c r="V158" s="51"/>
    </row>
    <row r="160" spans="1:22" x14ac:dyDescent="0.2">
      <c r="A160" t="s">
        <v>116</v>
      </c>
      <c r="C160" s="11" t="s">
        <v>9</v>
      </c>
      <c r="H160" s="51">
        <f>+G139+H156</f>
        <v>73.951177296581079</v>
      </c>
      <c r="I160" s="51">
        <f>+H160+I156</f>
        <v>70.553824672078719</v>
      </c>
      <c r="J160" s="51">
        <f t="shared" ref="J160:M160" si="27">+I160+J156</f>
        <v>66.935644126983703</v>
      </c>
      <c r="K160" s="51">
        <f t="shared" si="27"/>
        <v>63.082281846457505</v>
      </c>
      <c r="L160" s="51">
        <f t="shared" si="27"/>
        <v>58.978451017697104</v>
      </c>
      <c r="M160" s="51">
        <f t="shared" si="27"/>
        <v>54.607871185067275</v>
      </c>
      <c r="N160" s="51">
        <f t="shared" ref="N160" si="28">+M139+N156</f>
        <v>-4.654667521750766</v>
      </c>
      <c r="O160" s="51">
        <f t="shared" ref="O160:Q160" si="29">+N160+O156</f>
        <v>-9.6118884324153306</v>
      </c>
      <c r="P160" s="51">
        <f t="shared" si="29"/>
        <v>-14.891328702273093</v>
      </c>
      <c r="Q160" s="51">
        <f t="shared" si="29"/>
        <v>-20.513932589671612</v>
      </c>
      <c r="R160" s="51"/>
      <c r="S160" s="51"/>
      <c r="T160" s="51"/>
      <c r="U160" s="51"/>
      <c r="V160" s="51"/>
    </row>
    <row r="162" spans="1:32" x14ac:dyDescent="0.2">
      <c r="A162" t="s">
        <v>74</v>
      </c>
      <c r="C162" s="11" t="s">
        <v>9</v>
      </c>
      <c r="H162" s="40">
        <f>+H92</f>
        <v>18.187540607200667</v>
      </c>
      <c r="I162" s="40">
        <f t="shared" ref="I162:Q162" si="30">+I92</f>
        <v>18.64222912238068</v>
      </c>
      <c r="J162" s="40">
        <f t="shared" si="30"/>
        <v>19.108284850440199</v>
      </c>
      <c r="K162" s="40">
        <f t="shared" si="30"/>
        <v>19.585991971701205</v>
      </c>
      <c r="L162" s="40">
        <f t="shared" si="30"/>
        <v>20.075641770993734</v>
      </c>
      <c r="M162" s="40">
        <f t="shared" si="30"/>
        <v>20.577532815268576</v>
      </c>
      <c r="N162" s="40">
        <f t="shared" si="30"/>
        <v>21.091971135650294</v>
      </c>
      <c r="O162" s="40">
        <f t="shared" si="30"/>
        <v>21.619270414041544</v>
      </c>
      <c r="P162" s="40">
        <f t="shared" si="30"/>
        <v>22.15975217439258</v>
      </c>
      <c r="Q162" s="40">
        <f t="shared" si="30"/>
        <v>22.713745978752399</v>
      </c>
      <c r="R162" s="40"/>
      <c r="S162" s="40"/>
      <c r="T162" s="40"/>
      <c r="U162" s="40"/>
      <c r="V162" s="40"/>
    </row>
    <row r="164" spans="1:32" x14ac:dyDescent="0.2">
      <c r="A164" t="s">
        <v>117</v>
      </c>
      <c r="C164" s="11" t="s">
        <v>118</v>
      </c>
      <c r="H164" s="54">
        <f>-H162/H158</f>
        <v>2.2168629277073908</v>
      </c>
      <c r="I164" s="54">
        <f t="shared" ref="I164:Q164" si="31">-I162/I158</f>
        <v>2.2722845009000752</v>
      </c>
      <c r="J164" s="54">
        <f t="shared" si="31"/>
        <v>2.3290916134225772</v>
      </c>
      <c r="K164" s="54">
        <f t="shared" si="31"/>
        <v>2.3873189037581417</v>
      </c>
      <c r="L164" s="54">
        <f t="shared" si="31"/>
        <v>2.4470018763520951</v>
      </c>
      <c r="M164" s="54">
        <f t="shared" si="31"/>
        <v>2.5081769232608973</v>
      </c>
      <c r="N164" s="54">
        <f t="shared" si="31"/>
        <v>2.5708813463424205</v>
      </c>
      <c r="O164" s="54">
        <f t="shared" si="31"/>
        <v>2.6351533800009799</v>
      </c>
      <c r="P164" s="54">
        <f t="shared" si="31"/>
        <v>2.7010322145010042</v>
      </c>
      <c r="Q164" s="54">
        <f t="shared" si="31"/>
        <v>2.76855801986353</v>
      </c>
      <c r="R164" s="54"/>
      <c r="S164" s="54"/>
      <c r="T164" s="54"/>
      <c r="U164" s="54"/>
      <c r="V164" s="54"/>
    </row>
    <row r="166" spans="1:32" x14ac:dyDescent="0.2">
      <c r="B166" s="11" t="s">
        <v>119</v>
      </c>
      <c r="C166" s="11" t="s">
        <v>120</v>
      </c>
    </row>
    <row r="167" spans="1:32" x14ac:dyDescent="0.2">
      <c r="B167" s="55">
        <f>+MIN(H164:V164)</f>
        <v>2.2168629277073908</v>
      </c>
      <c r="C167" s="55">
        <f>+AVERAGE(H164:V164)</f>
        <v>2.4836361706109114</v>
      </c>
    </row>
    <row r="169" spans="1:32" x14ac:dyDescent="0.2">
      <c r="A169" s="1" t="s">
        <v>121</v>
      </c>
    </row>
    <row r="171" spans="1:32" x14ac:dyDescent="0.2">
      <c r="A171" t="s">
        <v>59</v>
      </c>
      <c r="H171">
        <v>1</v>
      </c>
      <c r="I171">
        <v>2</v>
      </c>
      <c r="J171">
        <v>3</v>
      </c>
      <c r="K171">
        <v>4</v>
      </c>
      <c r="L171">
        <v>5</v>
      </c>
      <c r="M171">
        <v>6</v>
      </c>
      <c r="N171">
        <v>7</v>
      </c>
      <c r="O171">
        <v>8</v>
      </c>
      <c r="P171">
        <v>9</v>
      </c>
      <c r="Q171">
        <v>10</v>
      </c>
    </row>
    <row r="172" spans="1:32" x14ac:dyDescent="0.2">
      <c r="A172" t="s">
        <v>122</v>
      </c>
      <c r="E172">
        <v>1</v>
      </c>
      <c r="F172">
        <v>2</v>
      </c>
      <c r="G172">
        <v>3</v>
      </c>
    </row>
    <row r="174" spans="1:32" x14ac:dyDescent="0.2">
      <c r="A174" t="s">
        <v>74</v>
      </c>
      <c r="C174" s="11" t="s">
        <v>9</v>
      </c>
      <c r="E174" s="32"/>
      <c r="F174" s="32"/>
      <c r="G174" s="32"/>
      <c r="H174" s="33">
        <f>+H92</f>
        <v>18.187540607200667</v>
      </c>
      <c r="I174" s="33">
        <f t="shared" ref="I174:Q174" si="32">+I92</f>
        <v>18.64222912238068</v>
      </c>
      <c r="J174" s="33">
        <f t="shared" si="32"/>
        <v>19.108284850440199</v>
      </c>
      <c r="K174" s="33">
        <f t="shared" si="32"/>
        <v>19.585991971701205</v>
      </c>
      <c r="L174" s="33">
        <f t="shared" si="32"/>
        <v>20.075641770993734</v>
      </c>
      <c r="M174" s="33">
        <f t="shared" si="32"/>
        <v>20.577532815268576</v>
      </c>
      <c r="N174" s="33">
        <f t="shared" si="32"/>
        <v>21.091971135650294</v>
      </c>
      <c r="O174" s="33">
        <f t="shared" si="32"/>
        <v>21.619270414041544</v>
      </c>
      <c r="P174" s="33">
        <f t="shared" si="32"/>
        <v>22.15975217439258</v>
      </c>
      <c r="Q174" s="33">
        <f t="shared" si="32"/>
        <v>22.713745978752399</v>
      </c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</row>
    <row r="175" spans="1:32" x14ac:dyDescent="0.2">
      <c r="A175" t="s">
        <v>123</v>
      </c>
      <c r="C175" s="11" t="s">
        <v>9</v>
      </c>
      <c r="E175" s="32"/>
      <c r="F175" s="32"/>
      <c r="G175" s="32"/>
      <c r="H175" s="56">
        <f>+H158</f>
        <v>-8.2041791487801383</v>
      </c>
      <c r="I175" s="56">
        <f t="shared" ref="I175:Q175" si="33">+I158</f>
        <v>-8.2041791487801383</v>
      </c>
      <c r="J175" s="56">
        <f t="shared" si="33"/>
        <v>-8.2041791487801383</v>
      </c>
      <c r="K175" s="56">
        <f t="shared" si="33"/>
        <v>-8.2041791487801383</v>
      </c>
      <c r="L175" s="56">
        <f t="shared" si="33"/>
        <v>-8.2041791487801383</v>
      </c>
      <c r="M175" s="56">
        <f t="shared" si="33"/>
        <v>-8.2041791487801383</v>
      </c>
      <c r="N175" s="56">
        <f t="shared" si="33"/>
        <v>-8.2041791487801383</v>
      </c>
      <c r="O175" s="56">
        <f t="shared" si="33"/>
        <v>-8.2041791487801383</v>
      </c>
      <c r="P175" s="56">
        <f t="shared" si="33"/>
        <v>-8.2041791487801383</v>
      </c>
      <c r="Q175" s="56">
        <f t="shared" si="33"/>
        <v>-8.2041791487801383</v>
      </c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</row>
    <row r="176" spans="1:32" x14ac:dyDescent="0.2">
      <c r="A176" t="s">
        <v>124</v>
      </c>
      <c r="C176" s="11" t="s">
        <v>9</v>
      </c>
      <c r="E176" s="57">
        <f>-E123</f>
        <v>-6.3000000000000007</v>
      </c>
      <c r="F176" s="57">
        <f t="shared" ref="F176:Q176" si="34">-F123</f>
        <v>-25.200000000000003</v>
      </c>
      <c r="G176" s="57">
        <f>-G123-G148-G141</f>
        <v>-51.552445585292617</v>
      </c>
      <c r="H176" s="57">
        <f t="shared" si="34"/>
        <v>0</v>
      </c>
      <c r="I176" s="57">
        <f t="shared" si="34"/>
        <v>0</v>
      </c>
      <c r="J176" s="57">
        <f t="shared" si="34"/>
        <v>0</v>
      </c>
      <c r="K176" s="57">
        <f t="shared" si="34"/>
        <v>0</v>
      </c>
      <c r="L176" s="57">
        <f t="shared" si="34"/>
        <v>0</v>
      </c>
      <c r="M176" s="57">
        <f t="shared" si="34"/>
        <v>0</v>
      </c>
      <c r="N176" s="57">
        <f t="shared" si="34"/>
        <v>0</v>
      </c>
      <c r="O176" s="57">
        <f t="shared" si="34"/>
        <v>0</v>
      </c>
      <c r="P176" s="57">
        <f t="shared" si="34"/>
        <v>0</v>
      </c>
      <c r="Q176" s="57">
        <f t="shared" si="34"/>
        <v>0</v>
      </c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</row>
    <row r="177" spans="1:32" x14ac:dyDescent="0.2">
      <c r="A177" t="s">
        <v>121</v>
      </c>
      <c r="C177" s="11" t="s">
        <v>9</v>
      </c>
      <c r="E177" s="57">
        <f>SUM(E176)</f>
        <v>-6.3000000000000007</v>
      </c>
      <c r="F177" s="57">
        <f t="shared" ref="F177:G177" si="35">SUM(F176)</f>
        <v>-25.200000000000003</v>
      </c>
      <c r="G177" s="57">
        <f t="shared" si="35"/>
        <v>-51.552445585292617</v>
      </c>
      <c r="H177" s="57">
        <f>SUM(H174:H176)</f>
        <v>9.9833614584205286</v>
      </c>
      <c r="I177" s="57">
        <f t="shared" ref="I177:Q177" si="36">SUM(I174:I176)</f>
        <v>10.438049973600542</v>
      </c>
      <c r="J177" s="57">
        <f t="shared" si="36"/>
        <v>10.904105701660061</v>
      </c>
      <c r="K177" s="57">
        <f t="shared" si="36"/>
        <v>11.381812822921066</v>
      </c>
      <c r="L177" s="57">
        <f t="shared" si="36"/>
        <v>11.871462622213595</v>
      </c>
      <c r="M177" s="57">
        <f t="shared" si="36"/>
        <v>12.373353666488438</v>
      </c>
      <c r="N177" s="57">
        <f t="shared" si="36"/>
        <v>12.887791986870155</v>
      </c>
      <c r="O177" s="57">
        <f t="shared" si="36"/>
        <v>13.415091265261406</v>
      </c>
      <c r="P177" s="57">
        <f t="shared" si="36"/>
        <v>13.955573025612441</v>
      </c>
      <c r="Q177" s="57">
        <f t="shared" si="36"/>
        <v>14.509566829972261</v>
      </c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</row>
    <row r="178" spans="1:32" x14ac:dyDescent="0.2">
      <c r="C178" s="11"/>
    </row>
    <row r="179" spans="1:32" x14ac:dyDescent="0.2">
      <c r="A179" t="s">
        <v>125</v>
      </c>
      <c r="C179" s="11" t="s">
        <v>16</v>
      </c>
      <c r="E179" s="58">
        <f>+IRR(E177:AF177)</f>
        <v>6.5227895087501153E-2</v>
      </c>
    </row>
    <row r="180" spans="1:32" x14ac:dyDescent="0.2">
      <c r="A180" t="s">
        <v>126</v>
      </c>
      <c r="C180" s="11" t="s">
        <v>9</v>
      </c>
      <c r="E180" s="43">
        <f>+NPV(0.1,E177:AF177)</f>
        <v>-10.884178909359978</v>
      </c>
    </row>
    <row r="181" spans="1:32" x14ac:dyDescent="0.2">
      <c r="C181" s="11"/>
    </row>
    <row r="182" spans="1:32" x14ac:dyDescent="0.2">
      <c r="A182" s="1" t="s">
        <v>127</v>
      </c>
      <c r="C182" s="11"/>
    </row>
    <row r="183" spans="1:32" x14ac:dyDescent="0.2">
      <c r="A183" s="1"/>
      <c r="C183" s="11"/>
    </row>
    <row r="184" spans="1:32" x14ac:dyDescent="0.2">
      <c r="A184" s="1" t="s">
        <v>128</v>
      </c>
      <c r="C184" s="11"/>
    </row>
    <row r="185" spans="1:32" x14ac:dyDescent="0.2">
      <c r="A185" t="s">
        <v>129</v>
      </c>
      <c r="C185" s="11" t="s">
        <v>9</v>
      </c>
      <c r="G185" s="59">
        <f>+G143</f>
        <v>154.28235952180509</v>
      </c>
    </row>
    <row r="186" spans="1:32" x14ac:dyDescent="0.2">
      <c r="A186" t="s">
        <v>130</v>
      </c>
      <c r="C186" s="11" t="s">
        <v>9</v>
      </c>
      <c r="G186" s="59">
        <f>(-23.31)</f>
        <v>-23.31</v>
      </c>
    </row>
    <row r="187" spans="1:32" x14ac:dyDescent="0.2">
      <c r="A187" t="s">
        <v>131</v>
      </c>
      <c r="C187" s="11" t="s">
        <v>9</v>
      </c>
      <c r="G187" s="59">
        <f>SUM(G185:G186)</f>
        <v>130.97235952180509</v>
      </c>
    </row>
    <row r="188" spans="1:32" x14ac:dyDescent="0.2">
      <c r="A188" s="1"/>
      <c r="C188" s="11"/>
    </row>
    <row r="189" spans="1:32" x14ac:dyDescent="0.2">
      <c r="A189" s="1" t="s">
        <v>21</v>
      </c>
      <c r="C189" s="11"/>
    </row>
    <row r="190" spans="1:32" x14ac:dyDescent="0.2">
      <c r="A190" s="1" t="s">
        <v>22</v>
      </c>
      <c r="C190" s="11"/>
    </row>
    <row r="191" spans="1:32" x14ac:dyDescent="0.2">
      <c r="A191" s="1"/>
      <c r="C191" s="11"/>
    </row>
    <row r="192" spans="1:32" x14ac:dyDescent="0.2">
      <c r="A192" t="s">
        <v>132</v>
      </c>
      <c r="C192" s="11"/>
      <c r="E192" t="s">
        <v>21</v>
      </c>
      <c r="F192" s="1"/>
      <c r="H192" s="11">
        <v>1</v>
      </c>
      <c r="I192" s="11">
        <f>+H192+1</f>
        <v>2</v>
      </c>
      <c r="J192" s="11">
        <f t="shared" ref="J192:M192" si="37">+I192+1</f>
        <v>3</v>
      </c>
      <c r="K192" s="11">
        <f t="shared" si="37"/>
        <v>4</v>
      </c>
      <c r="L192" s="11">
        <f t="shared" si="37"/>
        <v>5</v>
      </c>
      <c r="M192" s="11">
        <f t="shared" si="37"/>
        <v>6</v>
      </c>
      <c r="N192" s="11">
        <v>7</v>
      </c>
      <c r="O192" s="11">
        <v>8</v>
      </c>
      <c r="P192" s="11">
        <v>9</v>
      </c>
      <c r="Q192" s="11">
        <v>10</v>
      </c>
      <c r="R192" s="11"/>
      <c r="S192" s="11"/>
      <c r="T192" s="11"/>
      <c r="U192" s="11"/>
      <c r="V192" s="11"/>
      <c r="W192" s="11"/>
    </row>
    <row r="193" spans="1:23" x14ac:dyDescent="0.2">
      <c r="C193" s="11"/>
    </row>
    <row r="194" spans="1:23" x14ac:dyDescent="0.2">
      <c r="A194" t="s">
        <v>128</v>
      </c>
      <c r="C194" s="11" t="s">
        <v>9</v>
      </c>
      <c r="H194" s="59">
        <f>+$G$187</f>
        <v>130.97235952180509</v>
      </c>
      <c r="I194" s="59">
        <f t="shared" ref="I194:M194" si="38">+$G$187</f>
        <v>130.97235952180509</v>
      </c>
      <c r="J194" s="59">
        <f t="shared" si="38"/>
        <v>130.97235952180509</v>
      </c>
      <c r="K194" s="59">
        <f t="shared" si="38"/>
        <v>130.97235952180509</v>
      </c>
      <c r="L194" s="59">
        <f t="shared" si="38"/>
        <v>130.97235952180509</v>
      </c>
      <c r="M194" s="59">
        <f t="shared" si="38"/>
        <v>130.97235952180509</v>
      </c>
      <c r="N194" s="59"/>
      <c r="O194" s="59"/>
      <c r="P194" s="59"/>
      <c r="Q194" s="59"/>
      <c r="R194" s="59"/>
      <c r="S194" s="59"/>
      <c r="T194" s="59"/>
      <c r="U194" s="59"/>
      <c r="V194" s="59"/>
      <c r="W194" s="59"/>
    </row>
    <row r="195" spans="1:23" x14ac:dyDescent="0.2">
      <c r="A195" t="s">
        <v>133</v>
      </c>
      <c r="C195" s="11" t="s">
        <v>9</v>
      </c>
      <c r="H195" s="60">
        <f>+H21</f>
        <v>0.2</v>
      </c>
      <c r="I195" s="60">
        <f t="shared" ref="I195:M195" si="39">+I21</f>
        <v>0.32</v>
      </c>
      <c r="J195" s="60">
        <f t="shared" si="39"/>
        <v>0.192</v>
      </c>
      <c r="K195" s="60">
        <f t="shared" si="39"/>
        <v>0.1152</v>
      </c>
      <c r="L195" s="60">
        <f t="shared" si="39"/>
        <v>0.1152</v>
      </c>
      <c r="M195" s="60">
        <f t="shared" si="39"/>
        <v>5.7599999999999998E-2</v>
      </c>
      <c r="N195" s="60"/>
      <c r="O195" s="60"/>
      <c r="P195" s="60"/>
      <c r="Q195" s="60"/>
      <c r="R195" s="60"/>
      <c r="S195" s="60"/>
      <c r="T195" s="60"/>
      <c r="U195" s="60"/>
      <c r="V195" s="60"/>
      <c r="W195" s="60"/>
    </row>
    <row r="196" spans="1:23" x14ac:dyDescent="0.2">
      <c r="A196" t="s">
        <v>22</v>
      </c>
      <c r="C196" s="11" t="s">
        <v>9</v>
      </c>
      <c r="H196" s="35">
        <f>+H194*H195</f>
        <v>26.19447190436102</v>
      </c>
      <c r="I196" s="35">
        <f t="shared" ref="I196:M196" si="40">+I194*I195</f>
        <v>41.911155046977626</v>
      </c>
      <c r="J196" s="35">
        <f t="shared" si="40"/>
        <v>25.146693028186579</v>
      </c>
      <c r="K196" s="35">
        <f t="shared" si="40"/>
        <v>15.088015816911946</v>
      </c>
      <c r="L196" s="35">
        <f t="shared" si="40"/>
        <v>15.088015816911946</v>
      </c>
      <c r="M196" s="35">
        <f t="shared" si="40"/>
        <v>7.5440079084559732</v>
      </c>
      <c r="N196" s="35"/>
      <c r="O196" s="35"/>
      <c r="P196" s="35"/>
      <c r="Q196" s="35"/>
      <c r="R196" s="35"/>
      <c r="S196" s="35"/>
      <c r="T196" s="35"/>
      <c r="U196" s="35"/>
      <c r="V196" s="35"/>
      <c r="W196" s="35"/>
    </row>
    <row r="197" spans="1:23" x14ac:dyDescent="0.2">
      <c r="C197" s="11"/>
    </row>
    <row r="198" spans="1:23" x14ac:dyDescent="0.2">
      <c r="A198" t="s">
        <v>134</v>
      </c>
      <c r="C198" s="11"/>
      <c r="H198" s="37">
        <f>+H196</f>
        <v>26.19447190436102</v>
      </c>
      <c r="I198" s="37">
        <f>+H198+I196</f>
        <v>68.10562695133865</v>
      </c>
      <c r="J198" s="37">
        <f t="shared" ref="J198:M198" si="41">+I198+J196</f>
        <v>93.252319979525225</v>
      </c>
      <c r="K198" s="37">
        <f t="shared" si="41"/>
        <v>108.34033579643717</v>
      </c>
      <c r="L198" s="37">
        <f t="shared" si="41"/>
        <v>123.42835161334912</v>
      </c>
      <c r="M198" s="37">
        <f t="shared" si="41"/>
        <v>130.97235952180509</v>
      </c>
      <c r="N198" s="37"/>
      <c r="O198" s="37"/>
      <c r="P198" s="37"/>
      <c r="Q198" s="37"/>
      <c r="R198" s="37"/>
      <c r="S198" s="37"/>
      <c r="T198" s="37"/>
      <c r="U198" s="37"/>
      <c r="V198" s="37"/>
      <c r="W198" s="37"/>
    </row>
    <row r="199" spans="1:23" x14ac:dyDescent="0.2">
      <c r="C199" s="11"/>
    </row>
    <row r="200" spans="1:23" x14ac:dyDescent="0.2">
      <c r="A200" t="s">
        <v>135</v>
      </c>
      <c r="C200" s="11" t="s">
        <v>9</v>
      </c>
      <c r="H200" s="59">
        <f>+H194-H198</f>
        <v>104.77788761744407</v>
      </c>
      <c r="I200" s="59">
        <f t="shared" ref="I200:M200" si="42">+I194-I198</f>
        <v>62.866732570466439</v>
      </c>
      <c r="J200" s="59">
        <f t="shared" si="42"/>
        <v>37.720039542279864</v>
      </c>
      <c r="K200" s="59">
        <f t="shared" si="42"/>
        <v>22.632023725367915</v>
      </c>
      <c r="L200" s="59">
        <f t="shared" si="42"/>
        <v>7.544007908455967</v>
      </c>
      <c r="M200" s="59">
        <f t="shared" si="42"/>
        <v>0</v>
      </c>
      <c r="N200" s="59"/>
      <c r="O200" s="59"/>
      <c r="P200" s="59"/>
      <c r="Q200" s="59"/>
      <c r="R200" s="59"/>
      <c r="S200" s="59"/>
      <c r="T200" s="59"/>
      <c r="U200" s="59"/>
      <c r="V200" s="59"/>
      <c r="W200" s="59"/>
    </row>
    <row r="201" spans="1:23" x14ac:dyDescent="0.2">
      <c r="C201" s="11"/>
    </row>
    <row r="202" spans="1:23" x14ac:dyDescent="0.2">
      <c r="C202" s="11"/>
    </row>
    <row r="203" spans="1:23" x14ac:dyDescent="0.2">
      <c r="C203" s="11"/>
    </row>
    <row r="204" spans="1:23" x14ac:dyDescent="0.2">
      <c r="A204" s="27" t="s">
        <v>136</v>
      </c>
      <c r="C204" s="11"/>
      <c r="E204">
        <f>+E71</f>
        <v>2025</v>
      </c>
      <c r="F204">
        <f>+E204+1</f>
        <v>2026</v>
      </c>
      <c r="G204">
        <f t="shared" ref="G204:M204" si="43">+F204+1</f>
        <v>2027</v>
      </c>
      <c r="H204">
        <f t="shared" si="43"/>
        <v>2028</v>
      </c>
      <c r="I204">
        <f t="shared" si="43"/>
        <v>2029</v>
      </c>
      <c r="J204">
        <f t="shared" si="43"/>
        <v>2030</v>
      </c>
      <c r="K204">
        <f t="shared" si="43"/>
        <v>2031</v>
      </c>
      <c r="L204">
        <f t="shared" si="43"/>
        <v>2032</v>
      </c>
      <c r="M204">
        <f t="shared" si="43"/>
        <v>2033</v>
      </c>
      <c r="N204">
        <v>2034</v>
      </c>
      <c r="O204">
        <f t="shared" ref="O204:Q204" si="44">+N204+1</f>
        <v>2035</v>
      </c>
      <c r="P204">
        <f t="shared" si="44"/>
        <v>2036</v>
      </c>
      <c r="Q204">
        <f t="shared" si="44"/>
        <v>2037</v>
      </c>
    </row>
    <row r="205" spans="1:23" x14ac:dyDescent="0.2">
      <c r="A205" s="1"/>
      <c r="C205" s="11"/>
    </row>
    <row r="206" spans="1:23" x14ac:dyDescent="0.2">
      <c r="A206" t="s">
        <v>59</v>
      </c>
      <c r="C206" s="11"/>
      <c r="H206">
        <v>1</v>
      </c>
      <c r="I206">
        <f>+H206+1</f>
        <v>2</v>
      </c>
      <c r="J206">
        <f t="shared" ref="J206:M206" si="45">+I206+1</f>
        <v>3</v>
      </c>
      <c r="K206">
        <f t="shared" si="45"/>
        <v>4</v>
      </c>
      <c r="L206">
        <f t="shared" si="45"/>
        <v>5</v>
      </c>
      <c r="M206">
        <f t="shared" si="45"/>
        <v>6</v>
      </c>
      <c r="N206">
        <v>7</v>
      </c>
    </row>
    <row r="207" spans="1:23" x14ac:dyDescent="0.2">
      <c r="A207" t="s">
        <v>60</v>
      </c>
      <c r="C207" s="11"/>
      <c r="E207">
        <v>1</v>
      </c>
      <c r="F207">
        <v>2</v>
      </c>
      <c r="G207">
        <v>3</v>
      </c>
    </row>
    <row r="208" spans="1:23" x14ac:dyDescent="0.2">
      <c r="A208" s="1"/>
      <c r="C208" s="11"/>
    </row>
    <row r="209" spans="1:32" x14ac:dyDescent="0.2">
      <c r="A209" t="s">
        <v>74</v>
      </c>
      <c r="C209" s="11" t="s">
        <v>9</v>
      </c>
      <c r="H209" s="35">
        <f>+H92</f>
        <v>18.187540607200667</v>
      </c>
      <c r="I209" s="35">
        <f t="shared" ref="I209:Q209" si="46">+I92</f>
        <v>18.64222912238068</v>
      </c>
      <c r="J209" s="35">
        <f t="shared" si="46"/>
        <v>19.108284850440199</v>
      </c>
      <c r="K209" s="35">
        <f t="shared" si="46"/>
        <v>19.585991971701205</v>
      </c>
      <c r="L209" s="35">
        <f t="shared" si="46"/>
        <v>20.075641770993734</v>
      </c>
      <c r="M209" s="35">
        <f t="shared" si="46"/>
        <v>20.577532815268576</v>
      </c>
      <c r="N209" s="35">
        <f t="shared" si="46"/>
        <v>21.091971135650294</v>
      </c>
      <c r="O209" s="35">
        <f t="shared" si="46"/>
        <v>21.619270414041544</v>
      </c>
      <c r="P209" s="35">
        <f t="shared" si="46"/>
        <v>22.15975217439258</v>
      </c>
      <c r="Q209" s="35">
        <f t="shared" si="46"/>
        <v>22.713745978752399</v>
      </c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</row>
    <row r="210" spans="1:32" x14ac:dyDescent="0.2">
      <c r="A210" t="s">
        <v>137</v>
      </c>
      <c r="C210" s="11" t="s">
        <v>9</v>
      </c>
      <c r="H210" s="35">
        <f>+H157</f>
        <v>-5.0141766844586657</v>
      </c>
      <c r="I210" s="35">
        <f t="shared" ref="I210:Q210" si="47">+I157</f>
        <v>-4.8068265242777706</v>
      </c>
      <c r="J210" s="35">
        <f t="shared" si="47"/>
        <v>-4.585998603685117</v>
      </c>
      <c r="K210" s="35">
        <f t="shared" si="47"/>
        <v>-4.3508168682539399</v>
      </c>
      <c r="L210" s="35">
        <f t="shared" si="47"/>
        <v>-4.1003483200197381</v>
      </c>
      <c r="M210" s="35">
        <f t="shared" si="47"/>
        <v>-3.8335993161503108</v>
      </c>
      <c r="N210" s="35">
        <f t="shared" si="47"/>
        <v>-3.5495116270293727</v>
      </c>
      <c r="O210" s="35">
        <f t="shared" si="47"/>
        <v>-3.2469582381155728</v>
      </c>
      <c r="P210" s="35">
        <f t="shared" si="47"/>
        <v>-2.9247388789223758</v>
      </c>
      <c r="Q210" s="35">
        <f t="shared" si="47"/>
        <v>-2.5815752613816216</v>
      </c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</row>
    <row r="211" spans="1:32" x14ac:dyDescent="0.2">
      <c r="A211" t="s">
        <v>138</v>
      </c>
      <c r="C211" s="11" t="s">
        <v>9</v>
      </c>
      <c r="H211" s="35">
        <f>-H196</f>
        <v>-26.19447190436102</v>
      </c>
      <c r="I211" s="35">
        <f t="shared" ref="I211:Q211" si="48">-I196</f>
        <v>-41.911155046977626</v>
      </c>
      <c r="J211" s="35">
        <f t="shared" si="48"/>
        <v>-25.146693028186579</v>
      </c>
      <c r="K211" s="35">
        <f t="shared" si="48"/>
        <v>-15.088015816911946</v>
      </c>
      <c r="L211" s="35">
        <f t="shared" si="48"/>
        <v>-15.088015816911946</v>
      </c>
      <c r="M211" s="35">
        <f t="shared" si="48"/>
        <v>-7.5440079084559732</v>
      </c>
      <c r="N211" s="35">
        <f t="shared" si="48"/>
        <v>0</v>
      </c>
      <c r="O211" s="35">
        <f t="shared" si="48"/>
        <v>0</v>
      </c>
      <c r="P211" s="35">
        <f t="shared" si="48"/>
        <v>0</v>
      </c>
      <c r="Q211" s="35">
        <f t="shared" si="48"/>
        <v>0</v>
      </c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</row>
    <row r="212" spans="1:32" x14ac:dyDescent="0.2">
      <c r="A212" t="s">
        <v>139</v>
      </c>
      <c r="C212" s="11" t="s">
        <v>9</v>
      </c>
      <c r="H212" s="35">
        <f>SUM(H209:H211)</f>
        <v>-13.021107981619018</v>
      </c>
      <c r="I212" s="35">
        <f t="shared" ref="I212:Q212" si="49">SUM(I209:I211)</f>
        <v>-28.075752448874717</v>
      </c>
      <c r="J212" s="35">
        <f t="shared" si="49"/>
        <v>-10.624406781431496</v>
      </c>
      <c r="K212" s="35">
        <f t="shared" si="49"/>
        <v>0.1471592865353184</v>
      </c>
      <c r="L212" s="35">
        <f t="shared" si="49"/>
        <v>0.88727763406205007</v>
      </c>
      <c r="M212" s="35">
        <f t="shared" si="49"/>
        <v>9.1999255906622892</v>
      </c>
      <c r="N212" s="35">
        <f t="shared" si="49"/>
        <v>17.542459508620922</v>
      </c>
      <c r="O212" s="35">
        <f t="shared" si="49"/>
        <v>18.37231217592597</v>
      </c>
      <c r="P212" s="35">
        <f t="shared" si="49"/>
        <v>19.235013295470203</v>
      </c>
      <c r="Q212" s="35">
        <f t="shared" si="49"/>
        <v>20.132170717370776</v>
      </c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</row>
    <row r="213" spans="1:32" x14ac:dyDescent="0.2">
      <c r="A213" t="s">
        <v>140</v>
      </c>
      <c r="C213" s="11" t="s">
        <v>9</v>
      </c>
      <c r="H213" s="35">
        <f>-H212*$E$19</f>
        <v>2.7344326761399937</v>
      </c>
      <c r="I213" s="35">
        <f t="shared" ref="I213:Q213" si="50">-I212*$E$19</f>
        <v>5.8959080142636902</v>
      </c>
      <c r="J213" s="35">
        <f t="shared" si="50"/>
        <v>2.2311254241006142</v>
      </c>
      <c r="K213" s="35">
        <f t="shared" si="50"/>
        <v>-3.0903450172416864E-2</v>
      </c>
      <c r="L213" s="35">
        <f t="shared" si="50"/>
        <v>-0.18632830315303051</v>
      </c>
      <c r="M213" s="35">
        <f t="shared" si="50"/>
        <v>-1.9319843740390807</v>
      </c>
      <c r="N213" s="35">
        <f t="shared" si="50"/>
        <v>-3.6839164968103937</v>
      </c>
      <c r="O213" s="35">
        <f t="shared" si="50"/>
        <v>-3.8581855569444534</v>
      </c>
      <c r="P213" s="35">
        <f t="shared" si="50"/>
        <v>-4.0393527920487422</v>
      </c>
      <c r="Q213" s="35">
        <f t="shared" si="50"/>
        <v>-4.2277558506478625</v>
      </c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</row>
    <row r="214" spans="1:32" x14ac:dyDescent="0.2">
      <c r="A214" t="s">
        <v>141</v>
      </c>
      <c r="C214" s="11" t="s">
        <v>9</v>
      </c>
      <c r="H214" s="35">
        <v>0</v>
      </c>
      <c r="I214" s="35">
        <f>0.3*G185</f>
        <v>46.284707856541523</v>
      </c>
      <c r="J214" s="35">
        <v>0</v>
      </c>
      <c r="K214" s="35">
        <v>0</v>
      </c>
      <c r="L214" s="35">
        <v>0</v>
      </c>
      <c r="M214" s="35">
        <v>0</v>
      </c>
      <c r="N214" s="35">
        <v>1</v>
      </c>
      <c r="O214" s="35">
        <f t="shared" ref="O214" si="51">0.3*M185</f>
        <v>0</v>
      </c>
      <c r="P214" s="35">
        <v>0</v>
      </c>
      <c r="Q214" s="35">
        <v>0</v>
      </c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</row>
    <row r="215" spans="1:32" x14ac:dyDescent="0.2">
      <c r="A215" t="s">
        <v>142</v>
      </c>
      <c r="C215" s="11" t="s">
        <v>9</v>
      </c>
      <c r="H215" s="35">
        <f>+H213-H214</f>
        <v>2.7344326761399937</v>
      </c>
      <c r="I215" s="35">
        <f t="shared" ref="I215:Q215" si="52">+I213-I214</f>
        <v>-40.388799842277834</v>
      </c>
      <c r="J215" s="35">
        <f t="shared" si="52"/>
        <v>2.2311254241006142</v>
      </c>
      <c r="K215" s="35">
        <f t="shared" si="52"/>
        <v>-3.0903450172416864E-2</v>
      </c>
      <c r="L215" s="35">
        <f t="shared" si="52"/>
        <v>-0.18632830315303051</v>
      </c>
      <c r="M215" s="35">
        <f t="shared" si="52"/>
        <v>-1.9319843740390807</v>
      </c>
      <c r="N215" s="35">
        <f t="shared" si="52"/>
        <v>-4.6839164968103937</v>
      </c>
      <c r="O215" s="35">
        <f t="shared" si="52"/>
        <v>-3.8581855569444534</v>
      </c>
      <c r="P215" s="35">
        <f t="shared" si="52"/>
        <v>-4.0393527920487422</v>
      </c>
      <c r="Q215" s="35">
        <f t="shared" si="52"/>
        <v>-4.2277558506478625</v>
      </c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</row>
    <row r="216" spans="1:32" x14ac:dyDescent="0.2">
      <c r="A216" t="s">
        <v>143</v>
      </c>
      <c r="C216" s="11" t="s">
        <v>9</v>
      </c>
      <c r="H216" s="35">
        <f>+H212+H215</f>
        <v>-10.286675305479024</v>
      </c>
      <c r="I216" s="35">
        <f>+I212-I215</f>
        <v>12.313047393403117</v>
      </c>
      <c r="J216" s="35">
        <f t="shared" ref="J216:N216" si="53">+J212+J215</f>
        <v>-8.3932813573308813</v>
      </c>
      <c r="K216" s="35">
        <f t="shared" si="53"/>
        <v>0.11625583636290154</v>
      </c>
      <c r="L216" s="35">
        <f t="shared" si="53"/>
        <v>0.70094933090901956</v>
      </c>
      <c r="M216" s="35">
        <f t="shared" si="53"/>
        <v>7.2679412166232087</v>
      </c>
      <c r="N216" s="35">
        <f t="shared" si="53"/>
        <v>12.858543011810529</v>
      </c>
      <c r="O216" s="35">
        <f t="shared" ref="O216" si="54">+O212-O215</f>
        <v>22.230497732870422</v>
      </c>
      <c r="P216" s="35">
        <f t="shared" ref="P216:Q216" si="55">+P212+P215</f>
        <v>15.195660503421461</v>
      </c>
      <c r="Q216" s="35">
        <f t="shared" si="55"/>
        <v>15.904414866722913</v>
      </c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</row>
    <row r="217" spans="1:32" x14ac:dyDescent="0.2">
      <c r="C217" s="11"/>
    </row>
    <row r="218" spans="1:32" x14ac:dyDescent="0.2">
      <c r="C218" s="11"/>
    </row>
    <row r="219" spans="1:32" x14ac:dyDescent="0.2">
      <c r="A219" s="1" t="s">
        <v>144</v>
      </c>
      <c r="C219" s="11"/>
    </row>
    <row r="220" spans="1:32" x14ac:dyDescent="0.2">
      <c r="A220" t="s">
        <v>145</v>
      </c>
      <c r="C220" s="11" t="s">
        <v>9</v>
      </c>
      <c r="H220" s="35">
        <f>+H216</f>
        <v>-10.286675305479024</v>
      </c>
      <c r="I220" s="35">
        <f t="shared" ref="I220:Q220" si="56">+I216</f>
        <v>12.313047393403117</v>
      </c>
      <c r="J220" s="35">
        <f t="shared" si="56"/>
        <v>-8.3932813573308813</v>
      </c>
      <c r="K220" s="35">
        <f t="shared" si="56"/>
        <v>0.11625583636290154</v>
      </c>
      <c r="L220" s="35">
        <f t="shared" si="56"/>
        <v>0.70094933090901956</v>
      </c>
      <c r="M220" s="35">
        <f t="shared" si="56"/>
        <v>7.2679412166232087</v>
      </c>
      <c r="N220" s="35">
        <f t="shared" si="56"/>
        <v>12.858543011810529</v>
      </c>
      <c r="O220" s="35">
        <f t="shared" si="56"/>
        <v>22.230497732870422</v>
      </c>
      <c r="P220" s="35">
        <f t="shared" si="56"/>
        <v>15.195660503421461</v>
      </c>
      <c r="Q220" s="35">
        <f t="shared" si="56"/>
        <v>15.904414866722913</v>
      </c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</row>
    <row r="221" spans="1:32" x14ac:dyDescent="0.2">
      <c r="A221" t="s">
        <v>146</v>
      </c>
      <c r="C221" s="11" t="s">
        <v>9</v>
      </c>
      <c r="H221" s="35">
        <f>-H211</f>
        <v>26.19447190436102</v>
      </c>
      <c r="I221" s="35">
        <f t="shared" ref="I221:Q221" si="57">-I211</f>
        <v>41.911155046977626</v>
      </c>
      <c r="J221" s="35">
        <f t="shared" si="57"/>
        <v>25.146693028186579</v>
      </c>
      <c r="K221" s="35">
        <f t="shared" si="57"/>
        <v>15.088015816911946</v>
      </c>
      <c r="L221" s="35">
        <f t="shared" si="57"/>
        <v>15.088015816911946</v>
      </c>
      <c r="M221" s="35">
        <f t="shared" si="57"/>
        <v>7.5440079084559732</v>
      </c>
      <c r="N221" s="35">
        <f t="shared" si="57"/>
        <v>0</v>
      </c>
      <c r="O221" s="35">
        <f t="shared" si="57"/>
        <v>0</v>
      </c>
      <c r="P221" s="35">
        <f t="shared" si="57"/>
        <v>0</v>
      </c>
      <c r="Q221" s="35">
        <f t="shared" si="57"/>
        <v>0</v>
      </c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</row>
    <row r="222" spans="1:32" x14ac:dyDescent="0.2">
      <c r="A222" t="s">
        <v>147</v>
      </c>
      <c r="C222" s="11" t="s">
        <v>9</v>
      </c>
      <c r="H222" s="35">
        <f>+H156</f>
        <v>-3.1900024643214722</v>
      </c>
      <c r="I222" s="35">
        <f t="shared" ref="I222:Q222" si="58">+I156</f>
        <v>-3.3973526245023673</v>
      </c>
      <c r="J222" s="35">
        <f t="shared" si="58"/>
        <v>-3.6181805450950217</v>
      </c>
      <c r="K222" s="35">
        <f t="shared" si="58"/>
        <v>-3.853362280526198</v>
      </c>
      <c r="L222" s="35">
        <f t="shared" si="58"/>
        <v>-4.1038308287604011</v>
      </c>
      <c r="M222" s="35">
        <f t="shared" si="58"/>
        <v>-4.3705798326298266</v>
      </c>
      <c r="N222" s="35">
        <f t="shared" si="58"/>
        <v>-4.654667521750766</v>
      </c>
      <c r="O222" s="35">
        <f t="shared" si="58"/>
        <v>-4.9572209106645655</v>
      </c>
      <c r="P222" s="35">
        <f t="shared" si="58"/>
        <v>-5.2794402698577629</v>
      </c>
      <c r="Q222" s="35">
        <f t="shared" si="58"/>
        <v>-5.6226038873985171</v>
      </c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</row>
    <row r="223" spans="1:32" x14ac:dyDescent="0.2">
      <c r="A223" t="s">
        <v>148</v>
      </c>
      <c r="C223" s="11" t="s">
        <v>9</v>
      </c>
      <c r="E223" s="37">
        <f>+E176</f>
        <v>-6.3000000000000007</v>
      </c>
      <c r="F223" s="37">
        <f t="shared" ref="F223:G223" si="59">+F176</f>
        <v>-25.200000000000003</v>
      </c>
      <c r="G223" s="37">
        <f t="shared" si="59"/>
        <v>-51.552445585292617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</row>
    <row r="224" spans="1:32" x14ac:dyDescent="0.2">
      <c r="A224" t="s">
        <v>149</v>
      </c>
      <c r="C224" s="11" t="s">
        <v>9</v>
      </c>
      <c r="E224" s="37">
        <f>SUM(E223)</f>
        <v>-6.3000000000000007</v>
      </c>
      <c r="F224" s="37">
        <f t="shared" ref="F224:G224" si="60">SUM(F223)</f>
        <v>-25.200000000000003</v>
      </c>
      <c r="G224" s="37">
        <f t="shared" si="60"/>
        <v>-51.552445585292617</v>
      </c>
      <c r="H224" s="35">
        <f>SUM(H220:H223)</f>
        <v>12.717794134560524</v>
      </c>
      <c r="I224" s="35">
        <f t="shared" ref="I224:Q224" si="61">SUM(I220:I223)</f>
        <v>50.826849815878376</v>
      </c>
      <c r="J224" s="35">
        <f t="shared" si="61"/>
        <v>13.135231125760676</v>
      </c>
      <c r="K224" s="35">
        <f t="shared" si="61"/>
        <v>11.350909372748649</v>
      </c>
      <c r="L224" s="35">
        <f t="shared" si="61"/>
        <v>11.685134319060564</v>
      </c>
      <c r="M224" s="35">
        <f t="shared" si="61"/>
        <v>10.441369292449355</v>
      </c>
      <c r="N224" s="35">
        <f t="shared" si="61"/>
        <v>8.2038754900597617</v>
      </c>
      <c r="O224" s="35">
        <f t="shared" si="61"/>
        <v>17.273276822205858</v>
      </c>
      <c r="P224" s="35">
        <f t="shared" si="61"/>
        <v>9.9162202335636991</v>
      </c>
      <c r="Q224" s="35">
        <f t="shared" si="61"/>
        <v>10.281810979324396</v>
      </c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</row>
    <row r="225" spans="1:22" x14ac:dyDescent="0.2">
      <c r="C225" s="11"/>
    </row>
    <row r="226" spans="1:22" x14ac:dyDescent="0.2">
      <c r="A226" t="s">
        <v>150</v>
      </c>
      <c r="C226" s="11" t="s">
        <v>16</v>
      </c>
      <c r="E226" s="74">
        <f>+IRR(E224:AF224)</f>
        <v>0.15054025342658939</v>
      </c>
    </row>
    <row r="227" spans="1:22" x14ac:dyDescent="0.2">
      <c r="A227" t="s">
        <v>151</v>
      </c>
      <c r="C227" s="11"/>
      <c r="E227" s="61">
        <f>+NPV(0.1,E224:AF224)</f>
        <v>13.433748083869622</v>
      </c>
    </row>
    <row r="228" spans="1:22" x14ac:dyDescent="0.2">
      <c r="C228" s="11"/>
    </row>
    <row r="229" spans="1:22" x14ac:dyDescent="0.2">
      <c r="A229" s="27" t="s">
        <v>152</v>
      </c>
      <c r="C229" s="11"/>
    </row>
    <row r="230" spans="1:22" x14ac:dyDescent="0.2">
      <c r="A230" t="s">
        <v>74</v>
      </c>
      <c r="C230" s="11" t="s">
        <v>9</v>
      </c>
      <c r="H230" s="40">
        <f>+H92</f>
        <v>18.187540607200667</v>
      </c>
      <c r="I230" s="40">
        <f t="shared" ref="I230:Q230" si="62">+I92</f>
        <v>18.64222912238068</v>
      </c>
      <c r="J230" s="40">
        <f t="shared" si="62"/>
        <v>19.108284850440199</v>
      </c>
      <c r="K230" s="40">
        <f t="shared" si="62"/>
        <v>19.585991971701205</v>
      </c>
      <c r="L230" s="40">
        <f t="shared" si="62"/>
        <v>20.075641770993734</v>
      </c>
      <c r="M230" s="40">
        <f t="shared" si="62"/>
        <v>20.577532815268576</v>
      </c>
      <c r="N230" s="40">
        <f t="shared" si="62"/>
        <v>21.091971135650294</v>
      </c>
      <c r="O230" s="40">
        <f t="shared" si="62"/>
        <v>21.619270414041544</v>
      </c>
      <c r="P230" s="40">
        <f t="shared" si="62"/>
        <v>22.15975217439258</v>
      </c>
      <c r="Q230" s="40">
        <f t="shared" si="62"/>
        <v>22.713745978752399</v>
      </c>
      <c r="R230" s="40"/>
      <c r="S230" s="40"/>
      <c r="T230" s="40"/>
      <c r="U230" s="40"/>
      <c r="V230" s="40"/>
    </row>
    <row r="231" spans="1:22" x14ac:dyDescent="0.2">
      <c r="A231" t="s">
        <v>153</v>
      </c>
      <c r="C231" s="11" t="s">
        <v>9</v>
      </c>
      <c r="H231" s="37">
        <f>+H215</f>
        <v>2.7344326761399937</v>
      </c>
      <c r="I231" s="37">
        <f>-I215</f>
        <v>40.388799842277834</v>
      </c>
      <c r="J231" s="37">
        <f t="shared" ref="J231:Q231" si="63">+J215</f>
        <v>2.2311254241006142</v>
      </c>
      <c r="K231" s="37">
        <f t="shared" si="63"/>
        <v>-3.0903450172416864E-2</v>
      </c>
      <c r="L231" s="37">
        <f t="shared" si="63"/>
        <v>-0.18632830315303051</v>
      </c>
      <c r="M231" s="37">
        <f t="shared" si="63"/>
        <v>-1.9319843740390807</v>
      </c>
      <c r="N231" s="37">
        <f t="shared" si="63"/>
        <v>-4.6839164968103937</v>
      </c>
      <c r="O231" s="37">
        <f t="shared" si="63"/>
        <v>-3.8581855569444534</v>
      </c>
      <c r="P231" s="37">
        <f t="shared" si="63"/>
        <v>-4.0393527920487422</v>
      </c>
      <c r="Q231" s="37">
        <f t="shared" si="63"/>
        <v>-4.2277558506478625</v>
      </c>
      <c r="R231" s="37"/>
      <c r="S231" s="37"/>
      <c r="T231" s="37"/>
      <c r="U231" s="37"/>
      <c r="V231" s="37"/>
    </row>
    <row r="232" spans="1:22" x14ac:dyDescent="0.2">
      <c r="A232" t="s">
        <v>154</v>
      </c>
      <c r="C232" s="11" t="s">
        <v>9</v>
      </c>
      <c r="H232" s="40">
        <f>SUM(H230:H231)</f>
        <v>20.921973283340662</v>
      </c>
      <c r="I232" s="40">
        <f t="shared" ref="I232:Q232" si="64">SUM(I230:I231)</f>
        <v>59.031028964658518</v>
      </c>
      <c r="J232" s="40">
        <f t="shared" si="64"/>
        <v>21.339410274540814</v>
      </c>
      <c r="K232" s="40">
        <f t="shared" si="64"/>
        <v>19.555088521528788</v>
      </c>
      <c r="L232" s="40">
        <f t="shared" si="64"/>
        <v>19.889313467840704</v>
      </c>
      <c r="M232" s="40">
        <f t="shared" si="64"/>
        <v>18.645548441229494</v>
      </c>
      <c r="N232" s="40">
        <f t="shared" si="64"/>
        <v>16.4080546388399</v>
      </c>
      <c r="O232" s="40">
        <f t="shared" si="64"/>
        <v>17.761084857097092</v>
      </c>
      <c r="P232" s="40">
        <f t="shared" si="64"/>
        <v>18.120399382343837</v>
      </c>
      <c r="Q232" s="40">
        <f t="shared" si="64"/>
        <v>18.485990128104536</v>
      </c>
      <c r="R232" s="40"/>
      <c r="S232" s="40"/>
      <c r="T232" s="40"/>
      <c r="U232" s="40"/>
      <c r="V232" s="40"/>
    </row>
    <row r="233" spans="1:22" x14ac:dyDescent="0.2">
      <c r="A233" t="s">
        <v>155</v>
      </c>
      <c r="C233" s="11" t="s">
        <v>9</v>
      </c>
      <c r="H233" s="51">
        <f>-H158</f>
        <v>8.2041791487801383</v>
      </c>
      <c r="I233" s="51">
        <f t="shared" ref="I233:Q233" si="65">-I158</f>
        <v>8.2041791487801383</v>
      </c>
      <c r="J233" s="51">
        <f t="shared" si="65"/>
        <v>8.2041791487801383</v>
      </c>
      <c r="K233" s="51">
        <f t="shared" si="65"/>
        <v>8.2041791487801383</v>
      </c>
      <c r="L233" s="51">
        <f t="shared" si="65"/>
        <v>8.2041791487801383</v>
      </c>
      <c r="M233" s="51">
        <f t="shared" si="65"/>
        <v>8.2041791487801383</v>
      </c>
      <c r="N233" s="51">
        <f t="shared" si="65"/>
        <v>8.2041791487801383</v>
      </c>
      <c r="O233" s="51">
        <f t="shared" si="65"/>
        <v>8.2041791487801383</v>
      </c>
      <c r="P233" s="51">
        <f t="shared" si="65"/>
        <v>8.2041791487801383</v>
      </c>
      <c r="Q233" s="51">
        <f t="shared" si="65"/>
        <v>8.2041791487801383</v>
      </c>
      <c r="R233" s="51"/>
      <c r="S233" s="51"/>
      <c r="T233" s="51"/>
      <c r="U233" s="51"/>
      <c r="V233" s="51"/>
    </row>
    <row r="234" spans="1:22" x14ac:dyDescent="0.2">
      <c r="C234" s="11"/>
    </row>
    <row r="235" spans="1:22" x14ac:dyDescent="0.2">
      <c r="A235" t="s">
        <v>152</v>
      </c>
      <c r="C235" s="11" t="s">
        <v>118</v>
      </c>
      <c r="H235" s="54">
        <f>+H232/H233</f>
        <v>2.5501604613852815</v>
      </c>
      <c r="I235" s="54">
        <f t="shared" ref="I235:Q235" si="66">+I232/I233</f>
        <v>7.1952389013147906</v>
      </c>
      <c r="J235" s="54">
        <f t="shared" si="66"/>
        <v>2.6010414799040222</v>
      </c>
      <c r="K235" s="54">
        <f t="shared" si="66"/>
        <v>2.3835521100775074</v>
      </c>
      <c r="L235" s="54">
        <f t="shared" si="66"/>
        <v>2.4242904874643068</v>
      </c>
      <c r="M235" s="54">
        <f t="shared" si="66"/>
        <v>2.2726890896820384</v>
      </c>
      <c r="N235" s="54">
        <f t="shared" si="66"/>
        <v>1.9999629873123357</v>
      </c>
      <c r="O235" s="54">
        <f t="shared" si="66"/>
        <v>2.1648826207967375</v>
      </c>
      <c r="P235" s="54">
        <f t="shared" si="66"/>
        <v>2.2086791443404938</v>
      </c>
      <c r="Q235" s="54">
        <f t="shared" si="66"/>
        <v>2.2532406707443946</v>
      </c>
      <c r="R235" s="54"/>
      <c r="S235" s="54"/>
      <c r="T235" s="54"/>
      <c r="U235" s="54"/>
      <c r="V235" s="54"/>
    </row>
    <row r="237" spans="1:22" x14ac:dyDescent="0.2">
      <c r="B237" s="11" t="s">
        <v>119</v>
      </c>
      <c r="C237" s="11" t="s">
        <v>120</v>
      </c>
    </row>
    <row r="238" spans="1:22" x14ac:dyDescent="0.2">
      <c r="B238" s="55">
        <f>+MIN(H235:V235)</f>
        <v>1.9999629873123357</v>
      </c>
      <c r="C238" s="55">
        <f>+AVERAGE(H235:V235)</f>
        <v>2.8053737953021911</v>
      </c>
    </row>
    <row r="240" spans="1:22" x14ac:dyDescent="0.2">
      <c r="A240" s="27" t="s">
        <v>156</v>
      </c>
    </row>
    <row r="242" spans="1:32" x14ac:dyDescent="0.2">
      <c r="A242" t="s">
        <v>157</v>
      </c>
      <c r="C242" t="s">
        <v>158</v>
      </c>
      <c r="H242" s="62">
        <f t="shared" ref="H242:Q242" si="67">+H87*$E$22/2000/1000000</f>
        <v>0</v>
      </c>
      <c r="I242" s="62">
        <f t="shared" si="67"/>
        <v>0</v>
      </c>
      <c r="J242" s="62">
        <f t="shared" si="67"/>
        <v>0</v>
      </c>
      <c r="K242" s="62">
        <f t="shared" si="67"/>
        <v>0</v>
      </c>
      <c r="L242" s="62">
        <f t="shared" si="67"/>
        <v>0</v>
      </c>
      <c r="M242" s="62">
        <f t="shared" si="67"/>
        <v>0</v>
      </c>
      <c r="N242" s="62">
        <f t="shared" si="67"/>
        <v>0</v>
      </c>
      <c r="O242" s="62">
        <f t="shared" si="67"/>
        <v>0</v>
      </c>
      <c r="P242" s="62">
        <f t="shared" si="67"/>
        <v>0</v>
      </c>
      <c r="Q242" s="62">
        <f t="shared" si="67"/>
        <v>0</v>
      </c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</row>
    <row r="243" spans="1:32" x14ac:dyDescent="0.2">
      <c r="A243" t="s">
        <v>159</v>
      </c>
      <c r="C243" t="s">
        <v>158</v>
      </c>
      <c r="E243" s="54">
        <f>+SUM(H242:AF242)</f>
        <v>0</v>
      </c>
    </row>
    <row r="244" spans="1:32" x14ac:dyDescent="0.2">
      <c r="A244" t="s">
        <v>160</v>
      </c>
      <c r="C244" t="s">
        <v>34</v>
      </c>
      <c r="H244" s="35">
        <f>+$E$23</f>
        <v>0</v>
      </c>
      <c r="I244" s="35">
        <f t="shared" ref="I244:Q244" si="68">+$E$23</f>
        <v>0</v>
      </c>
      <c r="J244" s="35">
        <f t="shared" si="68"/>
        <v>0</v>
      </c>
      <c r="K244" s="35">
        <f t="shared" si="68"/>
        <v>0</v>
      </c>
      <c r="L244" s="35">
        <f t="shared" si="68"/>
        <v>0</v>
      </c>
      <c r="M244" s="35">
        <f t="shared" si="68"/>
        <v>0</v>
      </c>
      <c r="N244" s="35">
        <f t="shared" si="68"/>
        <v>0</v>
      </c>
      <c r="O244" s="35">
        <f t="shared" si="68"/>
        <v>0</v>
      </c>
      <c r="P244" s="35">
        <f t="shared" si="68"/>
        <v>0</v>
      </c>
      <c r="Q244" s="35">
        <f t="shared" si="68"/>
        <v>0</v>
      </c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</row>
    <row r="245" spans="1:32" x14ac:dyDescent="0.2">
      <c r="A245" t="s">
        <v>161</v>
      </c>
      <c r="C245" t="s">
        <v>9</v>
      </c>
      <c r="H245" s="35">
        <f>+H242*H244</f>
        <v>0</v>
      </c>
      <c r="I245" s="35">
        <f t="shared" ref="I245:Q245" si="69">+I242*I244</f>
        <v>0</v>
      </c>
      <c r="J245" s="35">
        <f t="shared" si="69"/>
        <v>0</v>
      </c>
      <c r="K245" s="35">
        <f t="shared" si="69"/>
        <v>0</v>
      </c>
      <c r="L245" s="35">
        <f t="shared" si="69"/>
        <v>0</v>
      </c>
      <c r="M245" s="35">
        <f t="shared" si="69"/>
        <v>0</v>
      </c>
      <c r="N245" s="35">
        <f t="shared" si="69"/>
        <v>0</v>
      </c>
      <c r="O245" s="35">
        <f t="shared" si="69"/>
        <v>0</v>
      </c>
      <c r="P245" s="35">
        <f t="shared" si="69"/>
        <v>0</v>
      </c>
      <c r="Q245" s="35">
        <f t="shared" si="69"/>
        <v>0</v>
      </c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</row>
    <row r="246" spans="1:32" x14ac:dyDescent="0.2">
      <c r="A246" t="s">
        <v>162</v>
      </c>
      <c r="C246" t="s">
        <v>9</v>
      </c>
      <c r="E246" s="37">
        <f>+E224</f>
        <v>-6.3000000000000007</v>
      </c>
      <c r="F246" s="37">
        <f>+F224</f>
        <v>-25.200000000000003</v>
      </c>
      <c r="G246" s="37">
        <f>+G224</f>
        <v>-51.552445585292617</v>
      </c>
      <c r="H246" s="63">
        <f t="shared" ref="H246:Q246" si="70">+H224-H245</f>
        <v>12.717794134560524</v>
      </c>
      <c r="I246" s="63">
        <f t="shared" si="70"/>
        <v>50.826849815878376</v>
      </c>
      <c r="J246" s="63">
        <f t="shared" si="70"/>
        <v>13.135231125760676</v>
      </c>
      <c r="K246" s="63">
        <f t="shared" si="70"/>
        <v>11.350909372748649</v>
      </c>
      <c r="L246" s="63">
        <f t="shared" si="70"/>
        <v>11.685134319060564</v>
      </c>
      <c r="M246" s="63">
        <f t="shared" si="70"/>
        <v>10.441369292449355</v>
      </c>
      <c r="N246" s="63">
        <f t="shared" si="70"/>
        <v>8.2038754900597617</v>
      </c>
      <c r="O246" s="63">
        <f t="shared" si="70"/>
        <v>17.273276822205858</v>
      </c>
      <c r="P246" s="63">
        <f t="shared" si="70"/>
        <v>9.9162202335636991</v>
      </c>
      <c r="Q246" s="63">
        <f t="shared" si="70"/>
        <v>10.281810979324396</v>
      </c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</row>
    <row r="248" spans="1:32" x14ac:dyDescent="0.2">
      <c r="A248" t="s">
        <v>163</v>
      </c>
      <c r="C248" t="s">
        <v>16</v>
      </c>
      <c r="E248" s="73">
        <f>+IRR(E246:AF246)</f>
        <v>0.15054025342658939</v>
      </c>
    </row>
    <row r="249" spans="1:32" x14ac:dyDescent="0.2">
      <c r="A249" t="s">
        <v>164</v>
      </c>
      <c r="C249" t="s">
        <v>9</v>
      </c>
      <c r="E249" s="51">
        <f>+NPV(0.1,E246:AF246)</f>
        <v>13.433748083869622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F4D99-87A2-4B30-A909-B971E55A0D7F}">
  <dimension ref="A1:AF248"/>
  <sheetViews>
    <sheetView topLeftCell="A206" zoomScale="85" workbookViewId="0">
      <pane xSplit="1" topLeftCell="B1" activePane="topRight" state="frozen"/>
      <selection pane="topRight" activeCell="E232" sqref="E232"/>
    </sheetView>
  </sheetViews>
  <sheetFormatPr baseColWidth="10" defaultColWidth="8.83203125" defaultRowHeight="15" x14ac:dyDescent="0.2"/>
  <cols>
    <col min="1" max="1" width="33.5" customWidth="1"/>
    <col min="5" max="5" width="9.83203125" customWidth="1"/>
    <col min="6" max="7" width="11.1640625" customWidth="1"/>
    <col min="8" max="8" width="14.1640625" bestFit="1" customWidth="1"/>
    <col min="9" max="32" width="13.1640625" bestFit="1" customWidth="1"/>
  </cols>
  <sheetData>
    <row r="1" spans="1:7" x14ac:dyDescent="0.2">
      <c r="A1" s="1" t="s">
        <v>165</v>
      </c>
      <c r="F1" s="2" t="s">
        <v>21</v>
      </c>
      <c r="G1" s="2"/>
    </row>
    <row r="3" spans="1:7" x14ac:dyDescent="0.2">
      <c r="A3" s="3" t="s">
        <v>0</v>
      </c>
      <c r="B3" s="4"/>
      <c r="C3" s="5" t="s">
        <v>227</v>
      </c>
      <c r="D3" s="4"/>
      <c r="E3" s="4"/>
      <c r="F3" s="4"/>
      <c r="G3" s="4"/>
    </row>
    <row r="4" spans="1:7" x14ac:dyDescent="0.2">
      <c r="A4" s="4"/>
      <c r="B4" s="4"/>
      <c r="C4" s="4"/>
      <c r="D4" s="4"/>
      <c r="E4" s="4"/>
      <c r="F4" s="4"/>
      <c r="G4" s="4"/>
    </row>
    <row r="5" spans="1:7" x14ac:dyDescent="0.2">
      <c r="A5" s="4" t="s">
        <v>1</v>
      </c>
      <c r="B5" s="4"/>
      <c r="C5" s="6" t="str">
        <f>+'[1]Base Data'!D5</f>
        <v>MW</v>
      </c>
      <c r="D5" s="4"/>
      <c r="E5" s="6">
        <f>VLOOKUP('CCGT Model '!A5,Table1[#All],8,FALSE)</f>
        <v>80</v>
      </c>
      <c r="F5" s="4"/>
      <c r="G5" s="4"/>
    </row>
    <row r="6" spans="1:7" x14ac:dyDescent="0.2">
      <c r="A6" s="4" t="s">
        <v>187</v>
      </c>
      <c r="B6" s="4"/>
      <c r="C6" s="6" t="str">
        <f>+'[1]Base Data'!D15</f>
        <v>%</v>
      </c>
      <c r="D6" s="4"/>
      <c r="E6" s="6">
        <f>VLOOKUP('CCGT Model '!A6,Table1[#All],8,FALSE)</f>
        <v>0.4</v>
      </c>
      <c r="F6" s="4"/>
      <c r="G6" s="4"/>
    </row>
    <row r="7" spans="1:7" x14ac:dyDescent="0.2">
      <c r="A7" s="4" t="s">
        <v>2</v>
      </c>
      <c r="B7" s="4"/>
      <c r="C7" s="6" t="s">
        <v>3</v>
      </c>
      <c r="D7" s="4"/>
      <c r="E7" s="6">
        <f>+E5*8760*E6</f>
        <v>280320</v>
      </c>
      <c r="F7" s="4"/>
      <c r="G7" s="4"/>
    </row>
    <row r="8" spans="1:7" x14ac:dyDescent="0.2">
      <c r="A8" s="4" t="s">
        <v>182</v>
      </c>
      <c r="B8" s="4"/>
      <c r="C8" s="6" t="s">
        <v>5</v>
      </c>
      <c r="D8" s="4"/>
      <c r="E8" s="6">
        <f>VLOOKUP('CCGT Model '!A8,Table1[#All],8,FALSE)</f>
        <v>0</v>
      </c>
      <c r="F8" s="4"/>
      <c r="G8" s="4"/>
    </row>
    <row r="9" spans="1:7" x14ac:dyDescent="0.2">
      <c r="A9" s="4" t="s">
        <v>66</v>
      </c>
      <c r="B9" s="4"/>
      <c r="C9" s="6" t="s">
        <v>6</v>
      </c>
      <c r="D9" s="4"/>
      <c r="E9" s="6">
        <f>VLOOKUP('CCGT Model '!A9,Table1[#All],8,FALSE)</f>
        <v>42</v>
      </c>
      <c r="F9" s="4"/>
      <c r="G9" s="4"/>
    </row>
    <row r="10" spans="1:7" x14ac:dyDescent="0.2">
      <c r="A10" s="4" t="s">
        <v>68</v>
      </c>
      <c r="B10" s="4"/>
      <c r="C10" s="6" t="s">
        <v>7</v>
      </c>
      <c r="D10" s="4"/>
      <c r="E10" s="6">
        <f>VLOOKUP('CCGT Model '!A10,Table1[#All],8,FALSE)</f>
        <v>0</v>
      </c>
      <c r="F10" s="4"/>
      <c r="G10" s="4"/>
    </row>
    <row r="11" spans="1:7" x14ac:dyDescent="0.2">
      <c r="A11" s="4" t="s">
        <v>181</v>
      </c>
      <c r="B11" s="4"/>
      <c r="C11" s="6" t="str">
        <f>+'[1]Base Data'!D6</f>
        <v>$/kw</v>
      </c>
      <c r="D11" s="4"/>
      <c r="E11" s="6">
        <f>VLOOKUP('CCGT Model '!A11,Table1[#All],8,FALSE)</f>
        <v>1500</v>
      </c>
      <c r="F11" s="4"/>
      <c r="G11" s="4"/>
    </row>
    <row r="12" spans="1:7" x14ac:dyDescent="0.2">
      <c r="A12" s="4" t="s">
        <v>8</v>
      </c>
      <c r="B12" s="4"/>
      <c r="C12" s="6" t="s">
        <v>9</v>
      </c>
      <c r="D12" s="4"/>
      <c r="E12" s="6">
        <f>+E5*E11*1000/1000000</f>
        <v>120</v>
      </c>
      <c r="F12" s="4"/>
      <c r="G12" s="4"/>
    </row>
    <row r="13" spans="1:7" x14ac:dyDescent="0.2">
      <c r="A13" s="4" t="s">
        <v>41</v>
      </c>
      <c r="B13" s="4"/>
      <c r="C13" s="6" t="s">
        <v>10</v>
      </c>
      <c r="D13" s="4"/>
      <c r="E13" s="6">
        <f>VLOOKUP('CCGT Model '!A13,Table1[#All],8,FALSE)</f>
        <v>3</v>
      </c>
      <c r="F13" s="4"/>
      <c r="G13" s="4"/>
    </row>
    <row r="14" spans="1:7" x14ac:dyDescent="0.2">
      <c r="A14" s="4" t="s">
        <v>11</v>
      </c>
      <c r="B14" s="4"/>
      <c r="C14" s="6" t="s">
        <v>12</v>
      </c>
      <c r="D14" s="4"/>
      <c r="E14" s="6" t="s">
        <v>226</v>
      </c>
      <c r="F14" s="6" t="s">
        <v>14</v>
      </c>
      <c r="G14" s="6" t="s">
        <v>15</v>
      </c>
    </row>
    <row r="15" spans="1:7" x14ac:dyDescent="0.2">
      <c r="A15" s="4" t="s">
        <v>11</v>
      </c>
      <c r="B15" s="4"/>
      <c r="C15" s="6" t="s">
        <v>16</v>
      </c>
      <c r="D15" s="4"/>
      <c r="E15" s="8">
        <v>0.1</v>
      </c>
      <c r="F15" s="8">
        <v>0.4</v>
      </c>
      <c r="G15" s="8">
        <v>0.5</v>
      </c>
    </row>
    <row r="16" spans="1:7" x14ac:dyDescent="0.2">
      <c r="A16" s="4" t="s">
        <v>11</v>
      </c>
      <c r="B16" s="4"/>
      <c r="C16" s="6" t="s">
        <v>9</v>
      </c>
      <c r="D16" s="4"/>
      <c r="E16" s="6">
        <f>+E12*E15</f>
        <v>12</v>
      </c>
      <c r="F16" s="6">
        <f>+E12*F15</f>
        <v>48</v>
      </c>
      <c r="G16" s="6">
        <f>+E12*G15</f>
        <v>60</v>
      </c>
    </row>
    <row r="17" spans="1:23" x14ac:dyDescent="0.2">
      <c r="A17" s="4" t="s">
        <v>191</v>
      </c>
      <c r="B17" s="4"/>
      <c r="C17" s="6" t="s">
        <v>16</v>
      </c>
      <c r="D17" s="4"/>
      <c r="E17" s="6">
        <f>VLOOKUP('CCGT Model '!A17,Table1[#All],8,FALSE)</f>
        <v>2.5000000000000001E-2</v>
      </c>
      <c r="F17" s="4"/>
      <c r="G17" s="4"/>
    </row>
    <row r="18" spans="1:23" x14ac:dyDescent="0.2">
      <c r="A18" s="4" t="s">
        <v>17</v>
      </c>
      <c r="B18" s="4"/>
      <c r="C18" s="6" t="s">
        <v>18</v>
      </c>
      <c r="D18" s="4"/>
      <c r="E18" s="6">
        <f>VLOOKUP('CCGT Model '!A18,Table1[#All],8,FALSE)</f>
        <v>25</v>
      </c>
      <c r="F18" s="4"/>
      <c r="G18" s="4"/>
      <c r="H18" s="11"/>
    </row>
    <row r="19" spans="1:23" x14ac:dyDescent="0.2">
      <c r="A19" s="4" t="s">
        <v>19</v>
      </c>
      <c r="B19" s="4"/>
      <c r="C19" s="6" t="s">
        <v>20</v>
      </c>
      <c r="D19" s="4"/>
      <c r="E19" s="6">
        <f>VLOOKUP('CCGT Model '!A19,Table1[#All],8,FALSE)</f>
        <v>0.21</v>
      </c>
      <c r="F19" s="10" t="s">
        <v>21</v>
      </c>
      <c r="G19" s="4"/>
      <c r="H19" s="12"/>
    </row>
    <row r="20" spans="1:23" x14ac:dyDescent="0.2">
      <c r="A20" s="4" t="s">
        <v>22</v>
      </c>
      <c r="B20" s="4"/>
      <c r="C20" s="6" t="s">
        <v>23</v>
      </c>
      <c r="D20" s="4"/>
      <c r="E20" s="6">
        <f>VLOOKUP('CCGT Model '!A20,Table1[#All],8,FALSE)</f>
        <v>5</v>
      </c>
      <c r="F20" s="10"/>
      <c r="G20" s="4"/>
      <c r="H20" s="10" t="s">
        <v>24</v>
      </c>
      <c r="I20" s="10" t="s">
        <v>25</v>
      </c>
      <c r="J20" s="10" t="s">
        <v>26</v>
      </c>
      <c r="K20" s="10" t="s">
        <v>27</v>
      </c>
      <c r="L20" s="10" t="s">
        <v>28</v>
      </c>
      <c r="M20" s="10" t="s">
        <v>29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x14ac:dyDescent="0.2">
      <c r="A21" s="4" t="s">
        <v>30</v>
      </c>
      <c r="B21" s="4"/>
      <c r="C21" s="6" t="s">
        <v>16</v>
      </c>
      <c r="D21" s="4"/>
      <c r="E21" s="6"/>
      <c r="F21" s="4"/>
      <c r="G21" s="4"/>
      <c r="H21" s="72">
        <v>0.2</v>
      </c>
      <c r="I21" s="72">
        <v>0.32</v>
      </c>
      <c r="J21" s="72">
        <v>0.192</v>
      </c>
      <c r="K21" s="72">
        <v>0.1152</v>
      </c>
      <c r="L21" s="72">
        <v>0.1152</v>
      </c>
      <c r="M21" s="72">
        <v>5.7599999999999998E-2</v>
      </c>
      <c r="N21" s="14"/>
      <c r="O21" s="14"/>
      <c r="P21" s="14"/>
      <c r="Q21" s="14"/>
      <c r="R21" s="14"/>
      <c r="S21" s="14"/>
      <c r="T21" s="14"/>
      <c r="U21" s="14"/>
      <c r="V21" s="14"/>
      <c r="W21" s="15"/>
    </row>
    <row r="22" spans="1:23" x14ac:dyDescent="0.2">
      <c r="A22" s="4" t="s">
        <v>31</v>
      </c>
      <c r="B22" s="4"/>
      <c r="C22" s="6" t="s">
        <v>32</v>
      </c>
      <c r="D22" s="4"/>
      <c r="E22" s="6">
        <v>0</v>
      </c>
      <c r="F22" s="4"/>
      <c r="G22" s="4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7"/>
    </row>
    <row r="23" spans="1:23" x14ac:dyDescent="0.2">
      <c r="A23" s="4" t="s">
        <v>33</v>
      </c>
      <c r="B23" s="4"/>
      <c r="C23" s="6" t="s">
        <v>34</v>
      </c>
      <c r="D23" s="4"/>
      <c r="E23" s="6">
        <v>0</v>
      </c>
      <c r="F23" s="4"/>
      <c r="G23" s="4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7"/>
    </row>
    <row r="24" spans="1:23" x14ac:dyDescent="0.2">
      <c r="A24" s="4"/>
      <c r="B24" s="4"/>
      <c r="C24" s="6"/>
      <c r="D24" s="4"/>
      <c r="E24" s="13"/>
      <c r="F24" s="4"/>
      <c r="G24" s="4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7"/>
    </row>
    <row r="25" spans="1:23" x14ac:dyDescent="0.2">
      <c r="A25" s="4" t="s">
        <v>35</v>
      </c>
      <c r="B25" s="4"/>
      <c r="C25" s="6"/>
      <c r="D25" s="4"/>
      <c r="E25" s="13"/>
      <c r="F25" s="4"/>
      <c r="G25" s="4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7"/>
    </row>
    <row r="26" spans="1:23" x14ac:dyDescent="0.2">
      <c r="C26" s="11"/>
      <c r="E26" s="1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7"/>
    </row>
    <row r="28" spans="1:23" x14ac:dyDescent="0.2">
      <c r="A28" s="1" t="s">
        <v>36</v>
      </c>
    </row>
    <row r="29" spans="1:23" ht="16" thickBot="1" x14ac:dyDescent="0.25"/>
    <row r="30" spans="1:23" ht="16" thickBot="1" x14ac:dyDescent="0.25">
      <c r="A30" t="s">
        <v>36</v>
      </c>
      <c r="C30" s="11" t="s">
        <v>37</v>
      </c>
      <c r="E30" s="19">
        <v>0.05</v>
      </c>
    </row>
    <row r="31" spans="1:23" x14ac:dyDescent="0.2">
      <c r="A31" t="s">
        <v>36</v>
      </c>
      <c r="C31" s="11" t="s">
        <v>9</v>
      </c>
      <c r="E31" s="20">
        <f>+E30*E12</f>
        <v>6</v>
      </c>
    </row>
    <row r="32" spans="1:23" x14ac:dyDescent="0.2">
      <c r="A32" t="s">
        <v>38</v>
      </c>
      <c r="C32" s="11"/>
      <c r="E32" s="21">
        <f>+E12+E31</f>
        <v>126</v>
      </c>
    </row>
    <row r="33" spans="1:7" x14ac:dyDescent="0.2">
      <c r="A33" t="s">
        <v>39</v>
      </c>
      <c r="C33" s="11" t="s">
        <v>12</v>
      </c>
      <c r="E33" s="11" t="s">
        <v>13</v>
      </c>
      <c r="F33" s="11" t="s">
        <v>14</v>
      </c>
      <c r="G33" s="11" t="s">
        <v>15</v>
      </c>
    </row>
    <row r="34" spans="1:7" x14ac:dyDescent="0.2">
      <c r="A34" t="s">
        <v>39</v>
      </c>
      <c r="C34" s="11" t="s">
        <v>16</v>
      </c>
      <c r="E34" s="22">
        <v>0.1</v>
      </c>
      <c r="F34" s="22">
        <v>0.4</v>
      </c>
      <c r="G34" s="22">
        <v>0.5</v>
      </c>
    </row>
    <row r="35" spans="1:7" x14ac:dyDescent="0.2">
      <c r="A35" t="s">
        <v>39</v>
      </c>
      <c r="C35" s="11" t="s">
        <v>9</v>
      </c>
      <c r="E35" s="23">
        <f>+E34*$E$32</f>
        <v>12.600000000000001</v>
      </c>
      <c r="F35" s="23">
        <f t="shared" ref="F35:G35" si="0">+F34*$E$32</f>
        <v>50.400000000000006</v>
      </c>
      <c r="G35" s="23">
        <f t="shared" si="0"/>
        <v>63</v>
      </c>
    </row>
    <row r="36" spans="1:7" x14ac:dyDescent="0.2">
      <c r="C36" s="11"/>
      <c r="E36" s="24"/>
      <c r="F36" s="24"/>
      <c r="G36" s="24"/>
    </row>
    <row r="37" spans="1:7" x14ac:dyDescent="0.2">
      <c r="A37" t="s">
        <v>40</v>
      </c>
      <c r="C37" s="11"/>
      <c r="E37" s="24"/>
      <c r="F37" s="24"/>
      <c r="G37" s="24"/>
    </row>
    <row r="38" spans="1:7" x14ac:dyDescent="0.2">
      <c r="C38" s="11"/>
      <c r="E38" s="24"/>
      <c r="F38" s="24"/>
      <c r="G38" s="24"/>
    </row>
    <row r="40" spans="1:7" x14ac:dyDescent="0.2">
      <c r="A40" s="3" t="s">
        <v>166</v>
      </c>
      <c r="B40" s="4"/>
      <c r="C40" s="4"/>
      <c r="D40" s="4"/>
      <c r="E40" s="4"/>
    </row>
    <row r="41" spans="1:7" x14ac:dyDescent="0.2">
      <c r="A41" s="4"/>
      <c r="B41" s="4"/>
      <c r="C41" s="4"/>
      <c r="D41" s="4"/>
      <c r="E41" s="4"/>
    </row>
    <row r="42" spans="1:7" x14ac:dyDescent="0.2">
      <c r="A42" s="4" t="s">
        <v>41</v>
      </c>
      <c r="B42" s="4"/>
      <c r="C42" s="6" t="s">
        <v>10</v>
      </c>
      <c r="D42" s="4"/>
      <c r="E42" s="7">
        <v>3</v>
      </c>
    </row>
    <row r="43" spans="1:7" x14ac:dyDescent="0.2">
      <c r="A43" s="4" t="s">
        <v>42</v>
      </c>
      <c r="B43" s="4"/>
      <c r="C43" s="6" t="s">
        <v>16</v>
      </c>
      <c r="D43" s="4"/>
      <c r="E43" s="8">
        <v>0.05</v>
      </c>
    </row>
    <row r="44" spans="1:7" x14ac:dyDescent="0.2">
      <c r="A44" s="4" t="s">
        <v>43</v>
      </c>
      <c r="B44" s="4"/>
      <c r="C44" s="6" t="s">
        <v>16</v>
      </c>
      <c r="D44" s="4"/>
      <c r="E44" s="8">
        <v>0.5</v>
      </c>
    </row>
    <row r="45" spans="1:7" x14ac:dyDescent="0.2">
      <c r="A45" s="4"/>
      <c r="B45" s="4"/>
      <c r="C45" s="6"/>
      <c r="D45" s="4"/>
      <c r="E45" s="4"/>
    </row>
    <row r="46" spans="1:7" x14ac:dyDescent="0.2">
      <c r="A46" s="4" t="s">
        <v>44</v>
      </c>
      <c r="B46" s="4"/>
      <c r="C46" s="6" t="s">
        <v>10</v>
      </c>
      <c r="D46" s="4"/>
      <c r="E46" s="7">
        <v>15</v>
      </c>
    </row>
    <row r="47" spans="1:7" x14ac:dyDescent="0.2">
      <c r="A47" s="4" t="s">
        <v>45</v>
      </c>
      <c r="B47" s="4"/>
      <c r="C47" s="6" t="s">
        <v>16</v>
      </c>
      <c r="D47" s="4"/>
      <c r="E47" s="10">
        <v>6.5000000000000002E-2</v>
      </c>
    </row>
    <row r="48" spans="1:7" x14ac:dyDescent="0.2">
      <c r="A48" s="4" t="s">
        <v>46</v>
      </c>
      <c r="B48" s="4"/>
      <c r="C48" s="6" t="s">
        <v>16</v>
      </c>
      <c r="D48" s="4"/>
      <c r="E48" s="8">
        <v>0.59555420651468194</v>
      </c>
    </row>
    <row r="49" spans="1:7" x14ac:dyDescent="0.2">
      <c r="A49" s="4"/>
      <c r="B49" s="4"/>
      <c r="C49" s="4"/>
      <c r="D49" s="4"/>
      <c r="E49" s="4"/>
    </row>
    <row r="50" spans="1:7" x14ac:dyDescent="0.2">
      <c r="A50" s="4" t="s">
        <v>47</v>
      </c>
      <c r="B50" s="4"/>
      <c r="C50" s="4"/>
      <c r="D50" s="4"/>
      <c r="E50" s="4"/>
    </row>
    <row r="51" spans="1:7" x14ac:dyDescent="0.2">
      <c r="A51" s="4" t="s">
        <v>48</v>
      </c>
      <c r="B51" s="4"/>
      <c r="C51" s="4"/>
      <c r="D51" s="4"/>
      <c r="E51" s="4"/>
    </row>
    <row r="52" spans="1:7" x14ac:dyDescent="0.2">
      <c r="A52" s="4"/>
      <c r="B52" s="4"/>
      <c r="C52" s="4"/>
      <c r="D52" s="4"/>
      <c r="E52" s="4"/>
    </row>
    <row r="53" spans="1:7" x14ac:dyDescent="0.2">
      <c r="A53" s="4" t="s">
        <v>49</v>
      </c>
      <c r="B53" s="4"/>
      <c r="C53" s="4"/>
      <c r="D53" s="4"/>
      <c r="E53" s="4"/>
    </row>
    <row r="54" spans="1:7" x14ac:dyDescent="0.2">
      <c r="A54" s="4" t="s">
        <v>167</v>
      </c>
      <c r="B54" s="4"/>
      <c r="C54" s="4"/>
      <c r="D54" s="4"/>
      <c r="E54" s="4"/>
    </row>
    <row r="55" spans="1:7" x14ac:dyDescent="0.2">
      <c r="A55" s="4" t="s">
        <v>50</v>
      </c>
      <c r="B55" s="4"/>
      <c r="C55" s="4"/>
      <c r="D55" s="4"/>
      <c r="E55" s="4"/>
    </row>
    <row r="56" spans="1:7" x14ac:dyDescent="0.2">
      <c r="A56" s="4"/>
      <c r="B56" s="4"/>
      <c r="C56" s="4"/>
      <c r="D56" s="4"/>
      <c r="E56" s="4"/>
    </row>
    <row r="58" spans="1:7" x14ac:dyDescent="0.2">
      <c r="A58" s="3" t="s">
        <v>51</v>
      </c>
      <c r="B58" s="4"/>
      <c r="C58" s="4"/>
      <c r="D58" s="4"/>
      <c r="E58" s="4" t="s">
        <v>21</v>
      </c>
    </row>
    <row r="59" spans="1:7" x14ac:dyDescent="0.2">
      <c r="A59" s="4"/>
      <c r="B59" s="4"/>
      <c r="C59" s="4"/>
      <c r="D59" s="4"/>
      <c r="E59" s="4"/>
    </row>
    <row r="60" spans="1:7" x14ac:dyDescent="0.2">
      <c r="A60" s="4" t="s">
        <v>209</v>
      </c>
      <c r="B60" s="4"/>
      <c r="C60" s="6" t="s">
        <v>52</v>
      </c>
      <c r="D60" s="4"/>
      <c r="E60" s="6">
        <v>0</v>
      </c>
    </row>
    <row r="61" spans="1:7" x14ac:dyDescent="0.2">
      <c r="A61" s="4" t="s">
        <v>53</v>
      </c>
      <c r="B61" s="4"/>
      <c r="C61" s="6" t="s">
        <v>16</v>
      </c>
      <c r="D61" s="4"/>
      <c r="E61" s="10">
        <v>0</v>
      </c>
    </row>
    <row r="62" spans="1:7" x14ac:dyDescent="0.2">
      <c r="A62" s="4"/>
      <c r="B62" s="4"/>
      <c r="C62" s="4"/>
      <c r="D62" s="4"/>
      <c r="E62" s="4"/>
    </row>
    <row r="63" spans="1:7" x14ac:dyDescent="0.2">
      <c r="A63" s="3" t="s">
        <v>54</v>
      </c>
      <c r="B63" s="4"/>
      <c r="C63" s="4"/>
      <c r="D63" s="4"/>
      <c r="E63" s="4" t="s">
        <v>55</v>
      </c>
      <c r="G63" t="s">
        <v>56</v>
      </c>
    </row>
    <row r="64" spans="1:7" ht="16" thickBot="1" x14ac:dyDescent="0.25">
      <c r="A64" s="4"/>
      <c r="B64" s="4"/>
      <c r="C64" s="4"/>
      <c r="D64" s="4"/>
      <c r="E64" s="4"/>
    </row>
    <row r="65" spans="1:32" ht="16" thickBot="1" x14ac:dyDescent="0.25">
      <c r="A65" s="4" t="s">
        <v>209</v>
      </c>
      <c r="B65" s="4"/>
      <c r="C65" s="6" t="s">
        <v>57</v>
      </c>
      <c r="D65" s="4"/>
      <c r="E65" s="9">
        <v>35</v>
      </c>
      <c r="G65" s="25">
        <v>72.235086664974148</v>
      </c>
    </row>
    <row r="66" spans="1:32" x14ac:dyDescent="0.2">
      <c r="A66" s="4" t="s">
        <v>53</v>
      </c>
      <c r="B66" s="4"/>
      <c r="C66" s="6" t="s">
        <v>16</v>
      </c>
      <c r="D66" s="4"/>
      <c r="E66" s="10">
        <v>0</v>
      </c>
      <c r="G66" s="26">
        <v>0</v>
      </c>
    </row>
    <row r="69" spans="1:32" x14ac:dyDescent="0.2">
      <c r="A69" s="1" t="s">
        <v>210</v>
      </c>
    </row>
    <row r="71" spans="1:32" x14ac:dyDescent="0.2">
      <c r="A71" s="1" t="s">
        <v>58</v>
      </c>
      <c r="E71">
        <v>2025</v>
      </c>
      <c r="F71">
        <f t="shared" ref="F71:M71" si="1">+E71+1</f>
        <v>2026</v>
      </c>
      <c r="G71">
        <f t="shared" si="1"/>
        <v>2027</v>
      </c>
      <c r="H71">
        <f t="shared" si="1"/>
        <v>2028</v>
      </c>
      <c r="I71">
        <f t="shared" si="1"/>
        <v>2029</v>
      </c>
      <c r="J71">
        <f t="shared" si="1"/>
        <v>2030</v>
      </c>
      <c r="K71">
        <f t="shared" si="1"/>
        <v>2031</v>
      </c>
      <c r="L71">
        <f t="shared" si="1"/>
        <v>2032</v>
      </c>
      <c r="M71">
        <f t="shared" si="1"/>
        <v>2033</v>
      </c>
      <c r="N71">
        <v>2034</v>
      </c>
      <c r="O71">
        <f>+N71+1</f>
        <v>2035</v>
      </c>
      <c r="P71">
        <v>2036</v>
      </c>
      <c r="Q71">
        <v>2037</v>
      </c>
      <c r="R71">
        <v>2038</v>
      </c>
      <c r="S71">
        <f>+R71+1</f>
        <v>2039</v>
      </c>
      <c r="T71">
        <f>+S71+1</f>
        <v>2040</v>
      </c>
      <c r="U71">
        <f>+T71+1</f>
        <v>2041</v>
      </c>
      <c r="V71">
        <v>2039</v>
      </c>
      <c r="W71">
        <f t="shared" ref="W71:Y71" si="2">+V71+1</f>
        <v>2040</v>
      </c>
      <c r="X71">
        <f t="shared" si="2"/>
        <v>2041</v>
      </c>
      <c r="Y71">
        <f t="shared" si="2"/>
        <v>2042</v>
      </c>
      <c r="Z71">
        <v>2040</v>
      </c>
      <c r="AA71">
        <f t="shared" ref="AA71:AC71" si="3">+Z71+1</f>
        <v>2041</v>
      </c>
      <c r="AB71">
        <f t="shared" si="3"/>
        <v>2042</v>
      </c>
      <c r="AC71">
        <f t="shared" si="3"/>
        <v>2043</v>
      </c>
      <c r="AD71">
        <v>2041</v>
      </c>
      <c r="AE71">
        <f t="shared" ref="AE71:AF71" si="4">+AD71+1</f>
        <v>2042</v>
      </c>
      <c r="AF71">
        <f t="shared" si="4"/>
        <v>2043</v>
      </c>
    </row>
    <row r="73" spans="1:32" x14ac:dyDescent="0.2">
      <c r="A73" t="s">
        <v>59</v>
      </c>
      <c r="H73">
        <v>1</v>
      </c>
      <c r="I73">
        <f>+H73+1</f>
        <v>2</v>
      </c>
      <c r="J73">
        <f t="shared" ref="J73:M73" si="5">+I73+1</f>
        <v>3</v>
      </c>
      <c r="K73">
        <f t="shared" si="5"/>
        <v>4</v>
      </c>
      <c r="L73">
        <f t="shared" si="5"/>
        <v>5</v>
      </c>
      <c r="M73">
        <f t="shared" si="5"/>
        <v>6</v>
      </c>
      <c r="N73">
        <f t="shared" ref="N73" si="6">+M73+1</f>
        <v>7</v>
      </c>
      <c r="O73">
        <f t="shared" ref="O73" si="7">+N73+1</f>
        <v>8</v>
      </c>
      <c r="P73">
        <f t="shared" ref="P73" si="8">+O73+1</f>
        <v>9</v>
      </c>
      <c r="Q73">
        <f t="shared" ref="Q73" si="9">+P73+1</f>
        <v>10</v>
      </c>
      <c r="R73">
        <f t="shared" ref="R73" si="10">+Q73+1</f>
        <v>11</v>
      </c>
      <c r="S73">
        <f t="shared" ref="S73" si="11">+R73+1</f>
        <v>12</v>
      </c>
      <c r="T73">
        <f t="shared" ref="T73" si="12">+S73+1</f>
        <v>13</v>
      </c>
      <c r="U73">
        <f t="shared" ref="U73" si="13">+T73+1</f>
        <v>14</v>
      </c>
      <c r="V73">
        <f t="shared" ref="V73" si="14">+U73+1</f>
        <v>15</v>
      </c>
      <c r="W73">
        <f t="shared" ref="W73" si="15">+V73+1</f>
        <v>16</v>
      </c>
      <c r="X73">
        <f t="shared" ref="X73" si="16">+W73+1</f>
        <v>17</v>
      </c>
      <c r="Y73">
        <f t="shared" ref="Y73" si="17">+X73+1</f>
        <v>18</v>
      </c>
      <c r="Z73">
        <f t="shared" ref="Z73" si="18">+Y73+1</f>
        <v>19</v>
      </c>
      <c r="AA73">
        <f t="shared" ref="AA73" si="19">+Z73+1</f>
        <v>20</v>
      </c>
      <c r="AB73">
        <f t="shared" ref="AB73" si="20">+AA73+1</f>
        <v>21</v>
      </c>
      <c r="AC73">
        <f t="shared" ref="AC73" si="21">+AB73+1</f>
        <v>22</v>
      </c>
      <c r="AD73">
        <f t="shared" ref="AD73" si="22">+AC73+1</f>
        <v>23</v>
      </c>
      <c r="AE73">
        <f t="shared" ref="AE73" si="23">+AD73+1</f>
        <v>24</v>
      </c>
      <c r="AF73">
        <f t="shared" ref="AF73" si="24">+AE73+1</f>
        <v>25</v>
      </c>
    </row>
    <row r="74" spans="1:32" x14ac:dyDescent="0.2">
      <c r="A74" t="s">
        <v>60</v>
      </c>
      <c r="E74">
        <v>1</v>
      </c>
      <c r="F74">
        <v>2</v>
      </c>
      <c r="G74">
        <v>3</v>
      </c>
    </row>
    <row r="76" spans="1:32" x14ac:dyDescent="0.2">
      <c r="A76" s="27" t="s">
        <v>61</v>
      </c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</row>
    <row r="77" spans="1:32" x14ac:dyDescent="0.2">
      <c r="A77" t="s">
        <v>62</v>
      </c>
      <c r="C77" s="11" t="s">
        <v>3</v>
      </c>
      <c r="E77" s="28"/>
      <c r="F77" s="28"/>
      <c r="G77" s="28"/>
      <c r="H77" s="29">
        <f>+$E$7</f>
        <v>280320</v>
      </c>
      <c r="I77" s="29">
        <f t="shared" ref="I77:AF77" si="25">+$E$7</f>
        <v>280320</v>
      </c>
      <c r="J77" s="29">
        <f t="shared" si="25"/>
        <v>280320</v>
      </c>
      <c r="K77" s="29">
        <f t="shared" si="25"/>
        <v>280320</v>
      </c>
      <c r="L77" s="29">
        <f t="shared" si="25"/>
        <v>280320</v>
      </c>
      <c r="M77" s="29">
        <f t="shared" si="25"/>
        <v>280320</v>
      </c>
      <c r="N77" s="29">
        <f t="shared" si="25"/>
        <v>280320</v>
      </c>
      <c r="O77" s="29">
        <f t="shared" si="25"/>
        <v>280320</v>
      </c>
      <c r="P77" s="29">
        <f t="shared" si="25"/>
        <v>280320</v>
      </c>
      <c r="Q77" s="29">
        <f t="shared" si="25"/>
        <v>280320</v>
      </c>
      <c r="R77" s="29">
        <f t="shared" si="25"/>
        <v>280320</v>
      </c>
      <c r="S77" s="29">
        <f t="shared" si="25"/>
        <v>280320</v>
      </c>
      <c r="T77" s="29">
        <f t="shared" si="25"/>
        <v>280320</v>
      </c>
      <c r="U77" s="29">
        <f t="shared" si="25"/>
        <v>280320</v>
      </c>
      <c r="V77" s="29">
        <f t="shared" si="25"/>
        <v>280320</v>
      </c>
      <c r="W77" s="29">
        <f t="shared" si="25"/>
        <v>280320</v>
      </c>
      <c r="X77" s="29">
        <f t="shared" si="25"/>
        <v>280320</v>
      </c>
      <c r="Y77" s="29">
        <f t="shared" si="25"/>
        <v>280320</v>
      </c>
      <c r="Z77" s="29">
        <f t="shared" si="25"/>
        <v>280320</v>
      </c>
      <c r="AA77" s="29">
        <f t="shared" si="25"/>
        <v>280320</v>
      </c>
      <c r="AB77" s="29">
        <f t="shared" si="25"/>
        <v>280320</v>
      </c>
      <c r="AC77" s="29">
        <f t="shared" si="25"/>
        <v>280320</v>
      </c>
      <c r="AD77" s="29">
        <f t="shared" si="25"/>
        <v>280320</v>
      </c>
      <c r="AE77" s="29">
        <f t="shared" si="25"/>
        <v>280320</v>
      </c>
      <c r="AF77" s="29">
        <f t="shared" si="25"/>
        <v>280320</v>
      </c>
    </row>
    <row r="78" spans="1:32" x14ac:dyDescent="0.2">
      <c r="A78" t="s">
        <v>63</v>
      </c>
      <c r="C78" s="11" t="s">
        <v>57</v>
      </c>
      <c r="E78" s="30">
        <f>+G65</f>
        <v>72.235086664974148</v>
      </c>
      <c r="F78" s="31">
        <f>E78*1.025</f>
        <v>74.040963831598489</v>
      </c>
      <c r="G78" s="31">
        <f>F78*1.025</f>
        <v>75.891987927388442</v>
      </c>
      <c r="H78" s="31">
        <f t="shared" ref="H78:AF78" si="26">G78*1.025</f>
        <v>77.789287625573152</v>
      </c>
      <c r="I78" s="31">
        <f t="shared" si="26"/>
        <v>79.734019816212481</v>
      </c>
      <c r="J78" s="31">
        <f t="shared" si="26"/>
        <v>81.72737031161779</v>
      </c>
      <c r="K78" s="31">
        <f t="shared" si="26"/>
        <v>83.770554569408233</v>
      </c>
      <c r="L78" s="31">
        <f t="shared" si="26"/>
        <v>85.864818433643435</v>
      </c>
      <c r="M78" s="31">
        <f t="shared" si="26"/>
        <v>88.011438894484513</v>
      </c>
      <c r="N78" s="31">
        <f t="shared" si="26"/>
        <v>90.211724866846623</v>
      </c>
      <c r="O78" s="31">
        <f t="shared" si="26"/>
        <v>92.467017988517782</v>
      </c>
      <c r="P78" s="31">
        <f t="shared" si="26"/>
        <v>94.778693438230718</v>
      </c>
      <c r="Q78" s="31">
        <f t="shared" si="26"/>
        <v>97.148160774186479</v>
      </c>
      <c r="R78" s="31">
        <f t="shared" si="26"/>
        <v>99.576864793541134</v>
      </c>
      <c r="S78" s="31">
        <f t="shared" si="26"/>
        <v>102.06628641337966</v>
      </c>
      <c r="T78" s="31">
        <f t="shared" si="26"/>
        <v>104.61794357371414</v>
      </c>
      <c r="U78" s="31">
        <f t="shared" si="26"/>
        <v>107.23339216305699</v>
      </c>
      <c r="V78" s="31">
        <f t="shared" si="26"/>
        <v>109.9142269671334</v>
      </c>
      <c r="W78" s="31">
        <f t="shared" si="26"/>
        <v>112.66208264131173</v>
      </c>
      <c r="X78" s="31">
        <f t="shared" si="26"/>
        <v>115.47863470734451</v>
      </c>
      <c r="Y78" s="31">
        <f t="shared" si="26"/>
        <v>118.36560057502811</v>
      </c>
      <c r="Z78" s="31">
        <f t="shared" si="26"/>
        <v>121.3247405894038</v>
      </c>
      <c r="AA78" s="31">
        <f t="shared" si="26"/>
        <v>124.35785910413888</v>
      </c>
      <c r="AB78" s="31">
        <f t="shared" si="26"/>
        <v>127.46680558174235</v>
      </c>
      <c r="AC78" s="31">
        <f t="shared" si="26"/>
        <v>130.6534757212859</v>
      </c>
      <c r="AD78" s="31">
        <f t="shared" si="26"/>
        <v>133.91981261431803</v>
      </c>
      <c r="AE78" s="31">
        <f t="shared" si="26"/>
        <v>137.26780792967597</v>
      </c>
      <c r="AF78" s="31">
        <f t="shared" si="26"/>
        <v>140.69950312791786</v>
      </c>
    </row>
    <row r="79" spans="1:32" x14ac:dyDescent="0.2">
      <c r="A79" t="s">
        <v>64</v>
      </c>
      <c r="C79" s="11" t="s">
        <v>9</v>
      </c>
      <c r="E79" s="32"/>
      <c r="F79" s="32"/>
      <c r="G79" s="32"/>
      <c r="H79" s="33">
        <f>+H77*H78/1000000</f>
        <v>21.805893107200667</v>
      </c>
      <c r="I79" s="33">
        <f t="shared" ref="I79:AF79" si="27">+I77*I78/1000000</f>
        <v>22.35104043488068</v>
      </c>
      <c r="J79" s="33">
        <f t="shared" si="27"/>
        <v>22.9098164457527</v>
      </c>
      <c r="K79" s="33">
        <f t="shared" si="27"/>
        <v>23.482561856896517</v>
      </c>
      <c r="L79" s="33">
        <f t="shared" si="27"/>
        <v>24.069625903318926</v>
      </c>
      <c r="M79" s="33">
        <f t="shared" si="27"/>
        <v>24.671366550901897</v>
      </c>
      <c r="N79" s="33">
        <f t="shared" si="27"/>
        <v>25.288150714674448</v>
      </c>
      <c r="O79" s="33">
        <f t="shared" si="27"/>
        <v>25.920354482541303</v>
      </c>
      <c r="P79" s="33">
        <f t="shared" si="27"/>
        <v>26.568363344604833</v>
      </c>
      <c r="Q79" s="33">
        <f t="shared" si="27"/>
        <v>27.232572428219957</v>
      </c>
      <c r="R79" s="33">
        <f t="shared" si="27"/>
        <v>27.91338673892545</v>
      </c>
      <c r="S79" s="33">
        <f t="shared" si="27"/>
        <v>28.611221407398585</v>
      </c>
      <c r="T79" s="33">
        <f t="shared" si="27"/>
        <v>29.326501942583551</v>
      </c>
      <c r="U79" s="33">
        <f t="shared" si="27"/>
        <v>30.059664491148137</v>
      </c>
      <c r="V79" s="33">
        <f t="shared" si="27"/>
        <v>30.811156103426836</v>
      </c>
      <c r="W79" s="33">
        <f t="shared" si="27"/>
        <v>31.581435006012502</v>
      </c>
      <c r="X79" s="33">
        <f t="shared" si="27"/>
        <v>32.370970881162812</v>
      </c>
      <c r="Y79" s="33">
        <f t="shared" si="27"/>
        <v>33.180245153191876</v>
      </c>
      <c r="Z79" s="33">
        <f t="shared" si="27"/>
        <v>34.009751282021675</v>
      </c>
      <c r="AA79" s="33">
        <f t="shared" si="27"/>
        <v>34.859995064072216</v>
      </c>
      <c r="AB79" s="33">
        <f t="shared" si="27"/>
        <v>35.731494940674011</v>
      </c>
      <c r="AC79" s="33">
        <f t="shared" si="27"/>
        <v>36.624782314190867</v>
      </c>
      <c r="AD79" s="33">
        <f t="shared" si="27"/>
        <v>37.540401872045628</v>
      </c>
      <c r="AE79" s="33">
        <f t="shared" si="27"/>
        <v>38.478911918846762</v>
      </c>
      <c r="AF79" s="33">
        <f t="shared" si="27"/>
        <v>39.440884716817941</v>
      </c>
    </row>
    <row r="80" spans="1:32" x14ac:dyDescent="0.2">
      <c r="C80" s="11"/>
    </row>
    <row r="81" spans="1:32" x14ac:dyDescent="0.2">
      <c r="A81" s="27" t="s">
        <v>65</v>
      </c>
      <c r="C81" s="11"/>
    </row>
    <row r="82" spans="1:32" x14ac:dyDescent="0.2">
      <c r="A82" t="s">
        <v>66</v>
      </c>
      <c r="C82" s="11" t="s">
        <v>67</v>
      </c>
      <c r="E82" s="34">
        <f>+E9</f>
        <v>42</v>
      </c>
      <c r="F82" s="35">
        <f>+E82*(1+$E$17)</f>
        <v>43.05</v>
      </c>
      <c r="G82" s="35">
        <f t="shared" ref="G82:M82" si="28">+F82*(1+$E$17)</f>
        <v>44.126249999999992</v>
      </c>
      <c r="H82" s="35">
        <f t="shared" si="28"/>
        <v>45.22940624999999</v>
      </c>
      <c r="I82" s="35">
        <f t="shared" si="28"/>
        <v>46.360141406249987</v>
      </c>
      <c r="J82" s="35">
        <f t="shared" si="28"/>
        <v>47.519144941406232</v>
      </c>
      <c r="K82" s="35">
        <f t="shared" si="28"/>
        <v>48.707123564941384</v>
      </c>
      <c r="L82" s="35">
        <f t="shared" si="28"/>
        <v>49.924801654064915</v>
      </c>
      <c r="M82" s="35">
        <f t="shared" si="28"/>
        <v>51.172921695416534</v>
      </c>
      <c r="N82" s="35">
        <f t="shared" ref="N82" si="29">+M82*(1+$E$17)</f>
        <v>52.452244737801941</v>
      </c>
      <c r="O82" s="35">
        <f t="shared" ref="O82" si="30">+N82*(1+$E$17)</f>
        <v>53.763550856246987</v>
      </c>
      <c r="P82" s="35">
        <f t="shared" ref="P82" si="31">+O82*(1+$E$17)</f>
        <v>55.107639627653157</v>
      </c>
      <c r="Q82" s="35">
        <f t="shared" ref="Q82" si="32">+P82*(1+$E$17)</f>
        <v>56.485330618344484</v>
      </c>
      <c r="R82" s="35">
        <f t="shared" ref="R82" si="33">+Q82*(1+$E$17)</f>
        <v>57.897463883803091</v>
      </c>
      <c r="S82" s="35">
        <f t="shared" ref="S82" si="34">+R82*(1+$E$17)</f>
        <v>59.344900480898161</v>
      </c>
      <c r="T82" s="35">
        <f t="shared" ref="T82" si="35">+S82*(1+$E$17)</f>
        <v>60.828522992920611</v>
      </c>
      <c r="U82" s="35">
        <f t="shared" ref="U82" si="36">+T82*(1+$E$17)</f>
        <v>62.349236067743618</v>
      </c>
      <c r="V82" s="35">
        <f t="shared" ref="V82" si="37">+U82*(1+$E$17)</f>
        <v>63.907966969437204</v>
      </c>
      <c r="W82" s="35">
        <f t="shared" ref="W82" si="38">+V82*(1+$E$17)</f>
        <v>65.505666143673125</v>
      </c>
      <c r="X82" s="35">
        <f t="shared" ref="X82" si="39">+W82*(1+$E$17)</f>
        <v>67.143307797264953</v>
      </c>
      <c r="Y82" s="35">
        <f t="shared" ref="Y82" si="40">+X82*(1+$E$17)</f>
        <v>68.821890492196573</v>
      </c>
      <c r="Z82" s="35">
        <f t="shared" ref="Z82" si="41">+Y82*(1+$E$17)</f>
        <v>70.542437754501478</v>
      </c>
      <c r="AA82" s="35">
        <f t="shared" ref="AA82" si="42">+Z82*(1+$E$17)</f>
        <v>72.305998698364007</v>
      </c>
      <c r="AB82" s="35">
        <f t="shared" ref="AB82" si="43">+AA82*(1+$E$17)</f>
        <v>74.113648665823106</v>
      </c>
      <c r="AC82" s="35">
        <f t="shared" ref="AC82" si="44">+AB82*(1+$E$17)</f>
        <v>75.966489882468679</v>
      </c>
      <c r="AD82" s="35">
        <f t="shared" ref="AD82" si="45">+AC82*(1+$E$17)</f>
        <v>77.865652129530389</v>
      </c>
      <c r="AE82" s="35">
        <f t="shared" ref="AE82" si="46">+AD82*(1+$E$17)</f>
        <v>79.812293432768641</v>
      </c>
      <c r="AF82" s="35">
        <f t="shared" ref="AF82" si="47">+AE82*(1+$E$17)</f>
        <v>81.807600768587847</v>
      </c>
    </row>
    <row r="83" spans="1:32" x14ac:dyDescent="0.2">
      <c r="A83" t="s">
        <v>66</v>
      </c>
      <c r="C83" s="11" t="s">
        <v>9</v>
      </c>
      <c r="H83" s="36">
        <f>+H82*$E$5*1000/1000000</f>
        <v>3.618352499999999</v>
      </c>
      <c r="I83" s="36">
        <f t="shared" ref="I83:AF83" si="48">+I82*$E$5*1000/1000000</f>
        <v>3.7088113124999991</v>
      </c>
      <c r="J83" s="36">
        <f t="shared" si="48"/>
        <v>3.8015315953124986</v>
      </c>
      <c r="K83" s="36">
        <f t="shared" si="48"/>
        <v>3.8965698851953108</v>
      </c>
      <c r="L83" s="36">
        <f t="shared" si="48"/>
        <v>3.9939841323251928</v>
      </c>
      <c r="M83" s="36">
        <f t="shared" si="48"/>
        <v>4.0938337356333223</v>
      </c>
      <c r="N83" s="36">
        <f t="shared" si="48"/>
        <v>4.1961795790241547</v>
      </c>
      <c r="O83" s="36">
        <f t="shared" si="48"/>
        <v>4.3010840684997591</v>
      </c>
      <c r="P83" s="36">
        <f t="shared" si="48"/>
        <v>4.4086111702122528</v>
      </c>
      <c r="Q83" s="36">
        <f t="shared" si="48"/>
        <v>4.5188264494675581</v>
      </c>
      <c r="R83" s="36">
        <f t="shared" si="48"/>
        <v>4.6317971107042482</v>
      </c>
      <c r="S83" s="36">
        <f t="shared" si="48"/>
        <v>4.7475920384718533</v>
      </c>
      <c r="T83" s="36">
        <f t="shared" si="48"/>
        <v>4.8662818394336496</v>
      </c>
      <c r="U83" s="36">
        <f t="shared" si="48"/>
        <v>4.9879388854194895</v>
      </c>
      <c r="V83" s="36">
        <f t="shared" si="48"/>
        <v>5.1126373575549762</v>
      </c>
      <c r="W83" s="36">
        <f t="shared" si="48"/>
        <v>5.24045329149385</v>
      </c>
      <c r="X83" s="36">
        <f t="shared" si="48"/>
        <v>5.371464623781196</v>
      </c>
      <c r="Y83" s="36">
        <f t="shared" si="48"/>
        <v>5.5057512393757264</v>
      </c>
      <c r="Z83" s="36">
        <f t="shared" si="48"/>
        <v>5.643395020360118</v>
      </c>
      <c r="AA83" s="36">
        <f t="shared" si="48"/>
        <v>5.7844798958691213</v>
      </c>
      <c r="AB83" s="36">
        <f t="shared" si="48"/>
        <v>5.9290918932658494</v>
      </c>
      <c r="AC83" s="36">
        <f t="shared" si="48"/>
        <v>6.0773191905974944</v>
      </c>
      <c r="AD83" s="36">
        <f t="shared" si="48"/>
        <v>6.2292521703624315</v>
      </c>
      <c r="AE83" s="36">
        <f t="shared" si="48"/>
        <v>6.3849834746214915</v>
      </c>
      <c r="AF83" s="36">
        <f t="shared" si="48"/>
        <v>6.5446080614870281</v>
      </c>
    </row>
    <row r="84" spans="1:32" x14ac:dyDescent="0.2">
      <c r="A84" t="s">
        <v>68</v>
      </c>
      <c r="C84" s="11" t="s">
        <v>57</v>
      </c>
      <c r="E84" s="34">
        <f>+E10</f>
        <v>0</v>
      </c>
      <c r="F84" s="35">
        <f>+E84*(1+$E$17)</f>
        <v>0</v>
      </c>
      <c r="G84" s="35">
        <f t="shared" ref="G84:M84" si="49">+F84*(1+$E$17)</f>
        <v>0</v>
      </c>
      <c r="H84" s="35">
        <f t="shared" si="49"/>
        <v>0</v>
      </c>
      <c r="I84" s="35">
        <f t="shared" si="49"/>
        <v>0</v>
      </c>
      <c r="J84" s="35">
        <f t="shared" si="49"/>
        <v>0</v>
      </c>
      <c r="K84" s="35">
        <f t="shared" si="49"/>
        <v>0</v>
      </c>
      <c r="L84" s="35">
        <f t="shared" si="49"/>
        <v>0</v>
      </c>
      <c r="M84" s="35">
        <f t="shared" si="49"/>
        <v>0</v>
      </c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</row>
    <row r="85" spans="1:32" x14ac:dyDescent="0.2">
      <c r="A85" t="s">
        <v>68</v>
      </c>
      <c r="C85" s="11" t="s">
        <v>9</v>
      </c>
      <c r="H85" s="37">
        <f>+H77*H84/1000000</f>
        <v>0</v>
      </c>
      <c r="I85" s="37">
        <f t="shared" ref="I85:M85" si="50">+I77*I84/1000000</f>
        <v>0</v>
      </c>
      <c r="J85" s="37">
        <f t="shared" si="50"/>
        <v>0</v>
      </c>
      <c r="K85" s="37">
        <f t="shared" si="50"/>
        <v>0</v>
      </c>
      <c r="L85" s="37">
        <f t="shared" si="50"/>
        <v>0</v>
      </c>
      <c r="M85" s="37">
        <f t="shared" si="50"/>
        <v>0</v>
      </c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</row>
    <row r="86" spans="1:32" x14ac:dyDescent="0.2">
      <c r="A86" t="s">
        <v>4</v>
      </c>
      <c r="C86" s="11" t="s">
        <v>5</v>
      </c>
      <c r="H86" s="34">
        <f>+$E$8</f>
        <v>0</v>
      </c>
      <c r="I86" s="34">
        <f t="shared" ref="I86:M86" si="51">+$E$8</f>
        <v>0</v>
      </c>
      <c r="J86" s="34">
        <f t="shared" si="51"/>
        <v>0</v>
      </c>
      <c r="K86" s="34">
        <f t="shared" si="51"/>
        <v>0</v>
      </c>
      <c r="L86" s="34">
        <f t="shared" si="51"/>
        <v>0</v>
      </c>
      <c r="M86" s="34">
        <f t="shared" si="51"/>
        <v>0</v>
      </c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</row>
    <row r="87" spans="1:32" x14ac:dyDescent="0.2">
      <c r="A87" t="s">
        <v>69</v>
      </c>
      <c r="C87" s="11" t="s">
        <v>70</v>
      </c>
      <c r="H87" s="38">
        <f>+H86*H77*1000/1000000</f>
        <v>0</v>
      </c>
      <c r="I87" s="38">
        <f t="shared" ref="I87:M87" si="52">+I86*I77*1000/1000000</f>
        <v>0</v>
      </c>
      <c r="J87" s="38">
        <f t="shared" si="52"/>
        <v>0</v>
      </c>
      <c r="K87" s="38">
        <f t="shared" si="52"/>
        <v>0</v>
      </c>
      <c r="L87" s="38">
        <f t="shared" si="52"/>
        <v>0</v>
      </c>
      <c r="M87" s="38">
        <f t="shared" si="52"/>
        <v>0</v>
      </c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</row>
    <row r="88" spans="1:32" x14ac:dyDescent="0.2">
      <c r="A88" t="s">
        <v>71</v>
      </c>
      <c r="C88" s="11" t="s">
        <v>52</v>
      </c>
      <c r="E88" s="35">
        <f>+E60</f>
        <v>0</v>
      </c>
      <c r="F88" s="35">
        <f>+E88*(1+$E$61)</f>
        <v>0</v>
      </c>
      <c r="G88" s="35">
        <f t="shared" ref="G88:M88" si="53">+F88*(1+$E$61)</f>
        <v>0</v>
      </c>
      <c r="H88" s="35">
        <f t="shared" si="53"/>
        <v>0</v>
      </c>
      <c r="I88" s="35">
        <f t="shared" si="53"/>
        <v>0</v>
      </c>
      <c r="J88" s="35">
        <f t="shared" si="53"/>
        <v>0</v>
      </c>
      <c r="K88" s="35">
        <f t="shared" si="53"/>
        <v>0</v>
      </c>
      <c r="L88" s="35">
        <f t="shared" si="53"/>
        <v>0</v>
      </c>
      <c r="M88" s="35">
        <f t="shared" si="53"/>
        <v>0</v>
      </c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</row>
    <row r="89" spans="1:32" x14ac:dyDescent="0.2">
      <c r="A89" t="s">
        <v>72</v>
      </c>
      <c r="C89" s="11" t="s">
        <v>9</v>
      </c>
      <c r="H89" s="39">
        <f>+H87*H88/1000000</f>
        <v>0</v>
      </c>
      <c r="I89" s="39">
        <f t="shared" ref="I89:M89" si="54">+I87*I88/1000000</f>
        <v>0</v>
      </c>
      <c r="J89" s="39">
        <f t="shared" si="54"/>
        <v>0</v>
      </c>
      <c r="K89" s="39">
        <f t="shared" si="54"/>
        <v>0</v>
      </c>
      <c r="L89" s="39">
        <f t="shared" si="54"/>
        <v>0</v>
      </c>
      <c r="M89" s="39">
        <f t="shared" si="54"/>
        <v>0</v>
      </c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</row>
    <row r="90" spans="1:32" x14ac:dyDescent="0.2">
      <c r="A90" t="s">
        <v>73</v>
      </c>
      <c r="C90" s="11" t="s">
        <v>9</v>
      </c>
      <c r="H90" s="40">
        <f>+H83+H85+H89</f>
        <v>3.618352499999999</v>
      </c>
      <c r="I90" s="40">
        <f t="shared" ref="I90:AF90" si="55">+I83+I85+I89</f>
        <v>3.7088113124999991</v>
      </c>
      <c r="J90" s="40">
        <f t="shared" si="55"/>
        <v>3.8015315953124986</v>
      </c>
      <c r="K90" s="40">
        <f t="shared" si="55"/>
        <v>3.8965698851953108</v>
      </c>
      <c r="L90" s="40">
        <f t="shared" si="55"/>
        <v>3.9939841323251928</v>
      </c>
      <c r="M90" s="40">
        <f t="shared" si="55"/>
        <v>4.0938337356333223</v>
      </c>
      <c r="N90" s="40">
        <f t="shared" si="55"/>
        <v>4.1961795790241547</v>
      </c>
      <c r="O90" s="40">
        <f t="shared" si="55"/>
        <v>4.3010840684997591</v>
      </c>
      <c r="P90" s="40">
        <f t="shared" si="55"/>
        <v>4.4086111702122528</v>
      </c>
      <c r="Q90" s="40">
        <f t="shared" si="55"/>
        <v>4.5188264494675581</v>
      </c>
      <c r="R90" s="40">
        <f t="shared" si="55"/>
        <v>4.6317971107042482</v>
      </c>
      <c r="S90" s="40">
        <f t="shared" si="55"/>
        <v>4.7475920384718533</v>
      </c>
      <c r="T90" s="40">
        <f t="shared" si="55"/>
        <v>4.8662818394336496</v>
      </c>
      <c r="U90" s="40">
        <f t="shared" si="55"/>
        <v>4.9879388854194895</v>
      </c>
      <c r="V90" s="40">
        <f t="shared" si="55"/>
        <v>5.1126373575549762</v>
      </c>
      <c r="W90" s="40">
        <f t="shared" si="55"/>
        <v>5.24045329149385</v>
      </c>
      <c r="X90" s="40">
        <f t="shared" si="55"/>
        <v>5.371464623781196</v>
      </c>
      <c r="Y90" s="40">
        <f t="shared" si="55"/>
        <v>5.5057512393757264</v>
      </c>
      <c r="Z90" s="40">
        <f t="shared" si="55"/>
        <v>5.643395020360118</v>
      </c>
      <c r="AA90" s="40">
        <f t="shared" si="55"/>
        <v>5.7844798958691213</v>
      </c>
      <c r="AB90" s="40">
        <f t="shared" si="55"/>
        <v>5.9290918932658494</v>
      </c>
      <c r="AC90" s="40">
        <f t="shared" si="55"/>
        <v>6.0773191905974944</v>
      </c>
      <c r="AD90" s="40">
        <f t="shared" si="55"/>
        <v>6.2292521703624315</v>
      </c>
      <c r="AE90" s="40">
        <f t="shared" si="55"/>
        <v>6.3849834746214915</v>
      </c>
      <c r="AF90" s="40">
        <f t="shared" si="55"/>
        <v>6.5446080614870281</v>
      </c>
    </row>
    <row r="91" spans="1:32" x14ac:dyDescent="0.2">
      <c r="C91" s="11"/>
    </row>
    <row r="92" spans="1:32" x14ac:dyDescent="0.2">
      <c r="A92" s="27" t="s">
        <v>74</v>
      </c>
      <c r="C92" s="11" t="s">
        <v>9</v>
      </c>
      <c r="H92" s="40">
        <f>+H79-H90</f>
        <v>18.187540607200667</v>
      </c>
      <c r="I92" s="40">
        <f t="shared" ref="I92:AF92" si="56">+I79-I90</f>
        <v>18.64222912238068</v>
      </c>
      <c r="J92" s="40">
        <f t="shared" si="56"/>
        <v>19.108284850440199</v>
      </c>
      <c r="K92" s="40">
        <f t="shared" si="56"/>
        <v>19.585991971701205</v>
      </c>
      <c r="L92" s="40">
        <f t="shared" si="56"/>
        <v>20.075641770993734</v>
      </c>
      <c r="M92" s="40">
        <f t="shared" si="56"/>
        <v>20.577532815268576</v>
      </c>
      <c r="N92" s="40">
        <f t="shared" si="56"/>
        <v>21.091971135650294</v>
      </c>
      <c r="O92" s="40">
        <f t="shared" si="56"/>
        <v>21.619270414041544</v>
      </c>
      <c r="P92" s="40">
        <f t="shared" si="56"/>
        <v>22.15975217439258</v>
      </c>
      <c r="Q92" s="40">
        <f t="shared" si="56"/>
        <v>22.713745978752399</v>
      </c>
      <c r="R92" s="40">
        <f t="shared" si="56"/>
        <v>23.281589628221202</v>
      </c>
      <c r="S92" s="40">
        <f t="shared" si="56"/>
        <v>23.86362936892673</v>
      </c>
      <c r="T92" s="40">
        <f t="shared" si="56"/>
        <v>24.460220103149901</v>
      </c>
      <c r="U92" s="40">
        <f t="shared" si="56"/>
        <v>25.071725605728648</v>
      </c>
      <c r="V92" s="40">
        <f t="shared" si="56"/>
        <v>25.698518745871858</v>
      </c>
      <c r="W92" s="40">
        <f t="shared" si="56"/>
        <v>26.340981714518652</v>
      </c>
      <c r="X92" s="40">
        <f t="shared" si="56"/>
        <v>26.999506257381615</v>
      </c>
      <c r="Y92" s="40">
        <f t="shared" si="56"/>
        <v>27.67449391381615</v>
      </c>
      <c r="Z92" s="40">
        <f t="shared" si="56"/>
        <v>28.366356261661558</v>
      </c>
      <c r="AA92" s="40">
        <f t="shared" si="56"/>
        <v>29.075515168203093</v>
      </c>
      <c r="AB92" s="40">
        <f t="shared" si="56"/>
        <v>29.802403047408163</v>
      </c>
      <c r="AC92" s="40">
        <f t="shared" si="56"/>
        <v>30.547463123593374</v>
      </c>
      <c r="AD92" s="40">
        <f t="shared" si="56"/>
        <v>31.311149701683195</v>
      </c>
      <c r="AE92" s="40">
        <f t="shared" si="56"/>
        <v>32.09392844422527</v>
      </c>
      <c r="AF92" s="40">
        <f t="shared" si="56"/>
        <v>32.896276655330915</v>
      </c>
    </row>
    <row r="93" spans="1:32" x14ac:dyDescent="0.2">
      <c r="A93" s="27"/>
      <c r="C93" s="1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</row>
    <row r="94" spans="1:32" x14ac:dyDescent="0.2">
      <c r="A94" t="s">
        <v>75</v>
      </c>
      <c r="C94" s="11"/>
      <c r="G94" s="75">
        <f>-H90*0.5</f>
        <v>-1.8091762499999995</v>
      </c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</row>
    <row r="95" spans="1:32" x14ac:dyDescent="0.2">
      <c r="C95" s="11"/>
    </row>
    <row r="96" spans="1:32" x14ac:dyDescent="0.2">
      <c r="A96" t="s">
        <v>76</v>
      </c>
      <c r="C96" s="11" t="s">
        <v>9</v>
      </c>
      <c r="E96" s="42">
        <f>-E35</f>
        <v>-12.600000000000001</v>
      </c>
      <c r="F96" s="42">
        <f t="shared" ref="F96" si="57">-F35</f>
        <v>-50.400000000000006</v>
      </c>
      <c r="G96" s="42">
        <f>G94-G35</f>
        <v>-64.809176249999993</v>
      </c>
      <c r="H96" s="42">
        <f>+H92</f>
        <v>18.187540607200667</v>
      </c>
      <c r="I96" s="42">
        <f t="shared" ref="I96:AF96" si="58">+I92</f>
        <v>18.64222912238068</v>
      </c>
      <c r="J96" s="42">
        <f t="shared" si="58"/>
        <v>19.108284850440199</v>
      </c>
      <c r="K96" s="42">
        <f t="shared" si="58"/>
        <v>19.585991971701205</v>
      </c>
      <c r="L96" s="42">
        <f t="shared" si="58"/>
        <v>20.075641770993734</v>
      </c>
      <c r="M96" s="42">
        <f t="shared" si="58"/>
        <v>20.577532815268576</v>
      </c>
      <c r="N96" s="42">
        <f t="shared" si="58"/>
        <v>21.091971135650294</v>
      </c>
      <c r="O96" s="42">
        <f t="shared" si="58"/>
        <v>21.619270414041544</v>
      </c>
      <c r="P96" s="42">
        <f t="shared" si="58"/>
        <v>22.15975217439258</v>
      </c>
      <c r="Q96" s="42">
        <f t="shared" si="58"/>
        <v>22.713745978752399</v>
      </c>
      <c r="R96" s="42">
        <f t="shared" si="58"/>
        <v>23.281589628221202</v>
      </c>
      <c r="S96" s="42">
        <f t="shared" si="58"/>
        <v>23.86362936892673</v>
      </c>
      <c r="T96" s="42">
        <f t="shared" si="58"/>
        <v>24.460220103149901</v>
      </c>
      <c r="U96" s="42">
        <f t="shared" si="58"/>
        <v>25.071725605728648</v>
      </c>
      <c r="V96" s="42">
        <f t="shared" si="58"/>
        <v>25.698518745871858</v>
      </c>
      <c r="W96" s="42">
        <f t="shared" si="58"/>
        <v>26.340981714518652</v>
      </c>
      <c r="X96" s="42">
        <f t="shared" si="58"/>
        <v>26.999506257381615</v>
      </c>
      <c r="Y96" s="42">
        <f t="shared" si="58"/>
        <v>27.67449391381615</v>
      </c>
      <c r="Z96" s="42">
        <f t="shared" si="58"/>
        <v>28.366356261661558</v>
      </c>
      <c r="AA96" s="42">
        <f t="shared" si="58"/>
        <v>29.075515168203093</v>
      </c>
      <c r="AB96" s="42">
        <f t="shared" si="58"/>
        <v>29.802403047408163</v>
      </c>
      <c r="AC96" s="42">
        <f t="shared" si="58"/>
        <v>30.547463123593374</v>
      </c>
      <c r="AD96" s="42">
        <f t="shared" si="58"/>
        <v>31.311149701683195</v>
      </c>
      <c r="AE96" s="42">
        <f t="shared" si="58"/>
        <v>32.09392844422527</v>
      </c>
      <c r="AF96" s="42">
        <f t="shared" si="58"/>
        <v>32.896276655330915</v>
      </c>
    </row>
    <row r="97" spans="1:9" x14ac:dyDescent="0.2">
      <c r="C97" s="11"/>
    </row>
    <row r="98" spans="1:9" x14ac:dyDescent="0.2">
      <c r="A98" t="s">
        <v>77</v>
      </c>
      <c r="C98" s="11" t="s">
        <v>16</v>
      </c>
      <c r="E98" s="60">
        <f>+IRR(E96:AF96)</f>
        <v>0.14789650906952168</v>
      </c>
    </row>
    <row r="99" spans="1:9" x14ac:dyDescent="0.2">
      <c r="A99" t="s">
        <v>78</v>
      </c>
      <c r="C99" s="11" t="s">
        <v>9</v>
      </c>
      <c r="E99" s="43">
        <f>+NPV(0.1,E96:AF96)</f>
        <v>49.219161843052397</v>
      </c>
    </row>
    <row r="101" spans="1:9" x14ac:dyDescent="0.2">
      <c r="A101" s="1" t="s">
        <v>79</v>
      </c>
    </row>
    <row r="103" spans="1:9" x14ac:dyDescent="0.2">
      <c r="A103" s="27" t="s">
        <v>80</v>
      </c>
    </row>
    <row r="104" spans="1:9" x14ac:dyDescent="0.2">
      <c r="A104" t="s">
        <v>41</v>
      </c>
      <c r="C104" s="11" t="s">
        <v>10</v>
      </c>
      <c r="D104" s="44">
        <f>+E42</f>
        <v>3</v>
      </c>
    </row>
    <row r="105" spans="1:9" x14ac:dyDescent="0.2">
      <c r="A105" t="s">
        <v>42</v>
      </c>
      <c r="C105" s="11" t="s">
        <v>16</v>
      </c>
      <c r="D105" s="45">
        <f>+E43</f>
        <v>0.05</v>
      </c>
    </row>
    <row r="106" spans="1:9" x14ac:dyDescent="0.2">
      <c r="A106" t="s">
        <v>43</v>
      </c>
      <c r="C106" s="11" t="s">
        <v>16</v>
      </c>
      <c r="D106" s="45">
        <f>+E44</f>
        <v>0.5</v>
      </c>
    </row>
    <row r="107" spans="1:9" x14ac:dyDescent="0.2">
      <c r="D107" s="22"/>
    </row>
    <row r="108" spans="1:9" x14ac:dyDescent="0.2">
      <c r="A108" s="27" t="s">
        <v>81</v>
      </c>
      <c r="D108" s="22"/>
    </row>
    <row r="109" spans="1:9" x14ac:dyDescent="0.2">
      <c r="A109" t="s">
        <v>82</v>
      </c>
      <c r="C109" s="11" t="s">
        <v>12</v>
      </c>
      <c r="D109" s="22"/>
      <c r="E109" s="11" t="s">
        <v>13</v>
      </c>
      <c r="F109" s="11" t="s">
        <v>14</v>
      </c>
      <c r="G109" s="11" t="s">
        <v>15</v>
      </c>
      <c r="I109" s="11" t="s">
        <v>83</v>
      </c>
    </row>
    <row r="110" spans="1:9" x14ac:dyDescent="0.2">
      <c r="A110" t="s">
        <v>82</v>
      </c>
      <c r="C110" s="11" t="s">
        <v>16</v>
      </c>
      <c r="D110" s="22"/>
      <c r="E110" s="45">
        <f t="shared" ref="E110:G111" si="59">+E34</f>
        <v>0.1</v>
      </c>
      <c r="F110" s="45">
        <f t="shared" si="59"/>
        <v>0.4</v>
      </c>
      <c r="G110" s="45">
        <v>0.5</v>
      </c>
      <c r="I110" s="46">
        <f>+SUM(E110:G110)</f>
        <v>1</v>
      </c>
    </row>
    <row r="111" spans="1:9" x14ac:dyDescent="0.2">
      <c r="A111" t="s">
        <v>82</v>
      </c>
      <c r="C111" s="11" t="s">
        <v>9</v>
      </c>
      <c r="E111" s="23">
        <f t="shared" si="59"/>
        <v>12.600000000000001</v>
      </c>
      <c r="F111" s="23">
        <f t="shared" si="59"/>
        <v>50.400000000000006</v>
      </c>
      <c r="G111" s="23">
        <f t="shared" si="59"/>
        <v>63</v>
      </c>
      <c r="I111" s="47">
        <f>+SUM(E111:G111)</f>
        <v>126</v>
      </c>
    </row>
    <row r="113" spans="1:7" x14ac:dyDescent="0.2">
      <c r="A113" s="27" t="s">
        <v>84</v>
      </c>
      <c r="E113" s="11" t="s">
        <v>13</v>
      </c>
      <c r="F113" s="11" t="s">
        <v>14</v>
      </c>
      <c r="G113" s="11" t="s">
        <v>15</v>
      </c>
    </row>
    <row r="114" spans="1:7" x14ac:dyDescent="0.2">
      <c r="A114" t="s">
        <v>85</v>
      </c>
      <c r="C114" s="11" t="s">
        <v>9</v>
      </c>
      <c r="E114" s="39">
        <v>0</v>
      </c>
      <c r="F114" s="39">
        <f>+E119</f>
        <v>6.4575000000000005</v>
      </c>
      <c r="G114" s="39">
        <f>+F119</f>
        <v>32.610375000000005</v>
      </c>
    </row>
    <row r="115" spans="1:7" x14ac:dyDescent="0.2">
      <c r="A115" t="s">
        <v>86</v>
      </c>
      <c r="C115" s="11" t="s">
        <v>9</v>
      </c>
      <c r="E115" s="39">
        <f>+E111*$D$106</f>
        <v>6.3000000000000007</v>
      </c>
      <c r="F115" s="39">
        <f>+F111*$D$106</f>
        <v>25.200000000000003</v>
      </c>
      <c r="G115" s="39">
        <f>+G111*$D$106</f>
        <v>31.5</v>
      </c>
    </row>
    <row r="116" spans="1:7" x14ac:dyDescent="0.2">
      <c r="A116" t="s">
        <v>87</v>
      </c>
      <c r="C116" s="11" t="s">
        <v>9</v>
      </c>
      <c r="E116" s="39">
        <f>+E114+E115</f>
        <v>6.3000000000000007</v>
      </c>
      <c r="F116" s="39">
        <f>+F114+F115</f>
        <v>31.657500000000002</v>
      </c>
      <c r="G116" s="39">
        <f>+G114+G115</f>
        <v>64.110375000000005</v>
      </c>
    </row>
    <row r="117" spans="1:7" x14ac:dyDescent="0.2">
      <c r="A117" t="s">
        <v>88</v>
      </c>
      <c r="C117" s="11" t="s">
        <v>9</v>
      </c>
      <c r="E117" s="39">
        <f>+(E114+E116)/2</f>
        <v>3.1500000000000004</v>
      </c>
      <c r="F117" s="39">
        <f>+(F114+F116)/2</f>
        <v>19.057500000000001</v>
      </c>
      <c r="G117" s="39">
        <f>+(G114+G116)/2</f>
        <v>48.360375000000005</v>
      </c>
    </row>
    <row r="118" spans="1:7" x14ac:dyDescent="0.2">
      <c r="A118" t="s">
        <v>89</v>
      </c>
      <c r="C118" s="11" t="s">
        <v>9</v>
      </c>
      <c r="E118" s="39">
        <f>+E117*$D$105</f>
        <v>0.15750000000000003</v>
      </c>
      <c r="F118" s="39">
        <f>+F117*$D$105</f>
        <v>0.95287500000000014</v>
      </c>
      <c r="G118" s="39">
        <f>+G117*$D$105</f>
        <v>2.4180187500000003</v>
      </c>
    </row>
    <row r="119" spans="1:7" x14ac:dyDescent="0.2">
      <c r="A119" t="s">
        <v>90</v>
      </c>
      <c r="C119" s="11" t="s">
        <v>9</v>
      </c>
      <c r="E119" s="39">
        <f>+E116+E118</f>
        <v>6.4575000000000005</v>
      </c>
      <c r="F119" s="39">
        <f>+F116+F118</f>
        <v>32.610375000000005</v>
      </c>
      <c r="G119" s="39">
        <f>+G116+G118</f>
        <v>66.528393750000006</v>
      </c>
    </row>
    <row r="121" spans="1:7" x14ac:dyDescent="0.2">
      <c r="E121" s="11" t="s">
        <v>13</v>
      </c>
      <c r="F121" s="11" t="s">
        <v>14</v>
      </c>
      <c r="G121" s="11" t="s">
        <v>15</v>
      </c>
    </row>
    <row r="122" spans="1:7" x14ac:dyDescent="0.2">
      <c r="A122" t="s">
        <v>91</v>
      </c>
      <c r="C122" s="11" t="s">
        <v>9</v>
      </c>
      <c r="E122" s="37">
        <f>+E111-E115</f>
        <v>6.3000000000000007</v>
      </c>
      <c r="F122" s="37">
        <f t="shared" ref="F122:G122" si="60">+F111-F115</f>
        <v>25.200000000000003</v>
      </c>
      <c r="G122" s="37">
        <f t="shared" si="60"/>
        <v>31.5</v>
      </c>
    </row>
    <row r="123" spans="1:7" x14ac:dyDescent="0.2">
      <c r="A123" t="s">
        <v>92</v>
      </c>
      <c r="C123" s="11" t="s">
        <v>9</v>
      </c>
      <c r="E123" s="37">
        <f>+E122</f>
        <v>6.3000000000000007</v>
      </c>
      <c r="F123" s="37">
        <f>+E123+F122</f>
        <v>31.500000000000004</v>
      </c>
      <c r="G123" s="37">
        <f>+F123+G122</f>
        <v>63</v>
      </c>
    </row>
    <row r="125" spans="1:7" x14ac:dyDescent="0.2">
      <c r="A125" t="s">
        <v>93</v>
      </c>
      <c r="E125" s="11" t="s">
        <v>13</v>
      </c>
      <c r="F125" s="11" t="s">
        <v>14</v>
      </c>
      <c r="G125" s="11" t="s">
        <v>15</v>
      </c>
    </row>
    <row r="126" spans="1:7" x14ac:dyDescent="0.2">
      <c r="A126" t="s">
        <v>94</v>
      </c>
      <c r="C126" s="11" t="s">
        <v>9</v>
      </c>
      <c r="E126" s="40">
        <f>+E119</f>
        <v>6.4575000000000005</v>
      </c>
      <c r="F126" s="40">
        <f>+F119</f>
        <v>32.610375000000005</v>
      </c>
      <c r="G126" s="40">
        <f>+G119</f>
        <v>66.528393750000006</v>
      </c>
    </row>
    <row r="127" spans="1:7" x14ac:dyDescent="0.2">
      <c r="A127" t="s">
        <v>95</v>
      </c>
      <c r="C127" s="11" t="s">
        <v>9</v>
      </c>
      <c r="E127" s="37">
        <f>+E122</f>
        <v>6.3000000000000007</v>
      </c>
      <c r="F127" s="37">
        <f>+F123</f>
        <v>31.500000000000004</v>
      </c>
      <c r="G127" s="37">
        <f>+G123</f>
        <v>63</v>
      </c>
    </row>
    <row r="128" spans="1:7" x14ac:dyDescent="0.2">
      <c r="A128" t="s">
        <v>96</v>
      </c>
      <c r="C128" s="11" t="s">
        <v>9</v>
      </c>
      <c r="E128" s="40">
        <f>SUM(E126:E127)</f>
        <v>12.7575</v>
      </c>
      <c r="F128" s="40">
        <f>SUM(F126:F127)</f>
        <v>64.110375000000005</v>
      </c>
      <c r="G128" s="40">
        <f>SUM(G126:G127)</f>
        <v>129.52839375000002</v>
      </c>
    </row>
    <row r="129" spans="1:7" x14ac:dyDescent="0.2">
      <c r="C129" s="11"/>
    </row>
    <row r="130" spans="1:7" x14ac:dyDescent="0.2">
      <c r="A130" s="27" t="s">
        <v>97</v>
      </c>
      <c r="C130" s="11"/>
    </row>
    <row r="131" spans="1:7" x14ac:dyDescent="0.2">
      <c r="G131" s="48"/>
    </row>
    <row r="132" spans="1:7" x14ac:dyDescent="0.2">
      <c r="A132" t="s">
        <v>98</v>
      </c>
      <c r="G132" s="48"/>
    </row>
    <row r="133" spans="1:7" x14ac:dyDescent="0.2">
      <c r="A133" t="s">
        <v>44</v>
      </c>
      <c r="C133" s="11" t="s">
        <v>10</v>
      </c>
      <c r="D133" s="44">
        <f>+E46</f>
        <v>15</v>
      </c>
      <c r="G133" s="48"/>
    </row>
    <row r="134" spans="1:7" x14ac:dyDescent="0.2">
      <c r="A134" t="s">
        <v>45</v>
      </c>
      <c r="C134" s="11" t="s">
        <v>16</v>
      </c>
      <c r="D134" s="64">
        <f>+E47</f>
        <v>6.5000000000000002E-2</v>
      </c>
      <c r="G134" s="48"/>
    </row>
    <row r="135" spans="1:7" x14ac:dyDescent="0.2">
      <c r="A135" t="s">
        <v>46</v>
      </c>
      <c r="C135" s="11" t="s">
        <v>16</v>
      </c>
      <c r="D135" s="45">
        <f>+E48</f>
        <v>0.59555420651468194</v>
      </c>
      <c r="G135" s="48"/>
    </row>
    <row r="136" spans="1:7" x14ac:dyDescent="0.2">
      <c r="G136" s="48"/>
    </row>
    <row r="137" spans="1:7" x14ac:dyDescent="0.2">
      <c r="A137" t="s">
        <v>99</v>
      </c>
      <c r="G137" s="48"/>
    </row>
    <row r="138" spans="1:7" x14ac:dyDescent="0.2">
      <c r="A138" t="s">
        <v>100</v>
      </c>
      <c r="C138" s="11" t="s">
        <v>9</v>
      </c>
      <c r="G138" s="39">
        <f>+G128*D135</f>
        <v>77.141179760902546</v>
      </c>
    </row>
    <row r="139" spans="1:7" x14ac:dyDescent="0.2">
      <c r="A139" t="s">
        <v>101</v>
      </c>
      <c r="C139" s="11" t="s">
        <v>9</v>
      </c>
      <c r="G139" s="39">
        <f>+G127</f>
        <v>63</v>
      </c>
    </row>
    <row r="140" spans="1:7" x14ac:dyDescent="0.2">
      <c r="A140" t="s">
        <v>102</v>
      </c>
      <c r="C140" s="11" t="s">
        <v>9</v>
      </c>
      <c r="G140" s="39">
        <f>+G138-G139</f>
        <v>14.141179760902546</v>
      </c>
    </row>
    <row r="141" spans="1:7" x14ac:dyDescent="0.2">
      <c r="A141" t="s">
        <v>103</v>
      </c>
      <c r="C141" s="11" t="s">
        <v>9</v>
      </c>
      <c r="G141" s="39">
        <f>+G139+G140</f>
        <v>77.141179760902546</v>
      </c>
    </row>
    <row r="142" spans="1:7" x14ac:dyDescent="0.2">
      <c r="A142" t="s">
        <v>104</v>
      </c>
      <c r="C142" s="11" t="s">
        <v>9</v>
      </c>
      <c r="G142" s="40">
        <f>+G138+G141</f>
        <v>154.28235952180509</v>
      </c>
    </row>
    <row r="143" spans="1:7" x14ac:dyDescent="0.2">
      <c r="G143" s="48"/>
    </row>
    <row r="144" spans="1:7" x14ac:dyDescent="0.2">
      <c r="A144" t="s">
        <v>105</v>
      </c>
      <c r="G144" s="49"/>
    </row>
    <row r="145" spans="1:22" x14ac:dyDescent="0.2">
      <c r="A145" t="s">
        <v>106</v>
      </c>
      <c r="C145" s="11" t="s">
        <v>9</v>
      </c>
      <c r="D145" s="50">
        <v>6</v>
      </c>
      <c r="E145" t="s">
        <v>107</v>
      </c>
      <c r="G145" s="51">
        <f>-D145/12*H157</f>
        <v>4.1020895743900692</v>
      </c>
    </row>
    <row r="146" spans="1:22" x14ac:dyDescent="0.2">
      <c r="A146" t="s">
        <v>108</v>
      </c>
      <c r="C146" s="11" t="s">
        <v>9</v>
      </c>
      <c r="D146" s="50">
        <v>6</v>
      </c>
      <c r="E146" t="s">
        <v>107</v>
      </c>
      <c r="G146" s="37">
        <f>+D146/12*H90</f>
        <v>1.8091762499999995</v>
      </c>
    </row>
    <row r="147" spans="1:22" x14ac:dyDescent="0.2">
      <c r="A147" t="s">
        <v>109</v>
      </c>
      <c r="C147" s="11" t="s">
        <v>9</v>
      </c>
      <c r="G147" s="37">
        <f>+G145+G146</f>
        <v>5.9112658243900684</v>
      </c>
    </row>
    <row r="148" spans="1:22" x14ac:dyDescent="0.2">
      <c r="G148" s="52"/>
    </row>
    <row r="149" spans="1:22" x14ac:dyDescent="0.2">
      <c r="A149" t="s">
        <v>110</v>
      </c>
      <c r="C149" s="11" t="s">
        <v>9</v>
      </c>
      <c r="G149" s="37">
        <f>+G141+G147</f>
        <v>83.052445585292617</v>
      </c>
    </row>
    <row r="151" spans="1:22" x14ac:dyDescent="0.2">
      <c r="A151" t="s">
        <v>111</v>
      </c>
      <c r="H151" s="53">
        <v>1</v>
      </c>
      <c r="I151" s="53">
        <f>+H151+1</f>
        <v>2</v>
      </c>
      <c r="J151" s="53">
        <f t="shared" ref="J151:M151" si="61">+I151+1</f>
        <v>3</v>
      </c>
      <c r="K151" s="53">
        <f t="shared" si="61"/>
        <v>4</v>
      </c>
      <c r="L151" s="53">
        <f t="shared" si="61"/>
        <v>5</v>
      </c>
      <c r="M151" s="53">
        <f t="shared" si="61"/>
        <v>6</v>
      </c>
      <c r="N151" s="53">
        <v>7</v>
      </c>
      <c r="O151" s="53">
        <v>8</v>
      </c>
      <c r="P151" s="53">
        <v>9</v>
      </c>
      <c r="Q151" s="53">
        <f t="shared" ref="Q151" si="62">+P151+1</f>
        <v>10</v>
      </c>
      <c r="R151" s="53">
        <f t="shared" ref="R151" si="63">+Q151+1</f>
        <v>11</v>
      </c>
      <c r="S151" s="53">
        <f t="shared" ref="S151" si="64">+R151+1</f>
        <v>12</v>
      </c>
      <c r="T151" s="53">
        <v>13</v>
      </c>
      <c r="U151" s="53">
        <v>14</v>
      </c>
      <c r="V151" s="53">
        <v>15</v>
      </c>
    </row>
    <row r="153" spans="1:22" x14ac:dyDescent="0.2">
      <c r="A153" t="s">
        <v>112</v>
      </c>
      <c r="C153" s="11" t="s">
        <v>9</v>
      </c>
      <c r="H153" s="37">
        <f>+G138</f>
        <v>77.141179760902546</v>
      </c>
      <c r="I153" s="51">
        <f>+H159</f>
        <v>73.951177296581079</v>
      </c>
      <c r="J153" s="51">
        <f t="shared" ref="J153:M153" si="65">+I159</f>
        <v>70.553824672078719</v>
      </c>
      <c r="K153" s="51">
        <f t="shared" si="65"/>
        <v>66.935644126983703</v>
      </c>
      <c r="L153" s="51">
        <f t="shared" si="65"/>
        <v>63.082281846457505</v>
      </c>
      <c r="M153" s="51">
        <f t="shared" si="65"/>
        <v>58.978451017697104</v>
      </c>
      <c r="N153" s="37">
        <f t="shared" ref="N153" si="66">+M138</f>
        <v>0</v>
      </c>
      <c r="O153" s="51">
        <f t="shared" ref="O153" si="67">+N159</f>
        <v>-4.654667521750766</v>
      </c>
      <c r="P153" s="51">
        <f t="shared" ref="P153" si="68">+O159</f>
        <v>-9.6118884324153306</v>
      </c>
      <c r="Q153" s="51">
        <f t="shared" ref="Q153" si="69">+P159</f>
        <v>-14.891328702273093</v>
      </c>
      <c r="R153" s="51">
        <f t="shared" ref="R153" si="70">+Q159</f>
        <v>-20.513932589671612</v>
      </c>
      <c r="S153" s="51">
        <f t="shared" ref="S153" si="71">+R159</f>
        <v>-26.502005729751033</v>
      </c>
      <c r="T153" s="37">
        <f t="shared" ref="T153" si="72">+S138</f>
        <v>0</v>
      </c>
      <c r="U153" s="51">
        <f t="shared" ref="U153" si="73">+T159</f>
        <v>-6.7918222573065803</v>
      </c>
      <c r="V153" s="51">
        <f t="shared" ref="V153" si="74">+U159</f>
        <v>-14.025112961338088</v>
      </c>
    </row>
    <row r="154" spans="1:22" x14ac:dyDescent="0.2">
      <c r="C154" s="11"/>
    </row>
    <row r="155" spans="1:22" x14ac:dyDescent="0.2">
      <c r="A155" t="s">
        <v>113</v>
      </c>
      <c r="C155" s="11" t="s">
        <v>9</v>
      </c>
      <c r="H155" s="51">
        <f>+PPMT($D$134,H151,$D$133,$G$138)</f>
        <v>-3.1900024643214722</v>
      </c>
      <c r="I155" s="51">
        <f t="shared" ref="I155:N155" si="75">+PPMT($D$134,I151,$D$133,$G$138)</f>
        <v>-3.3973526245023673</v>
      </c>
      <c r="J155" s="51">
        <f t="shared" si="75"/>
        <v>-3.6181805450950217</v>
      </c>
      <c r="K155" s="51">
        <f t="shared" si="75"/>
        <v>-3.853362280526198</v>
      </c>
      <c r="L155" s="51">
        <f t="shared" si="75"/>
        <v>-4.1038308287604011</v>
      </c>
      <c r="M155" s="51">
        <f t="shared" si="75"/>
        <v>-4.3705798326298266</v>
      </c>
      <c r="N155" s="51">
        <f t="shared" si="75"/>
        <v>-4.654667521750766</v>
      </c>
      <c r="O155" s="51">
        <f t="shared" ref="O155:V155" si="76">+PPMT($D$134,O151,$D$133,$G$138)</f>
        <v>-4.9572209106645655</v>
      </c>
      <c r="P155" s="51">
        <f t="shared" si="76"/>
        <v>-5.2794402698577629</v>
      </c>
      <c r="Q155" s="51">
        <f t="shared" si="76"/>
        <v>-5.6226038873985171</v>
      </c>
      <c r="R155" s="51">
        <f t="shared" si="76"/>
        <v>-5.9880731400794209</v>
      </c>
      <c r="S155" s="51">
        <f t="shared" si="76"/>
        <v>-6.3772978941845828</v>
      </c>
      <c r="T155" s="51">
        <f t="shared" si="76"/>
        <v>-6.7918222573065803</v>
      </c>
      <c r="U155" s="51">
        <f t="shared" si="76"/>
        <v>-7.2332907040315089</v>
      </c>
      <c r="V155" s="51">
        <f t="shared" si="76"/>
        <v>-7.7034545997935568</v>
      </c>
    </row>
    <row r="156" spans="1:22" x14ac:dyDescent="0.2">
      <c r="A156" t="s">
        <v>114</v>
      </c>
      <c r="C156" s="11" t="s">
        <v>9</v>
      </c>
      <c r="H156" s="51">
        <f>+IPMT($D$134,H151,$D$133,$G$138)</f>
        <v>-5.0141766844586657</v>
      </c>
      <c r="I156" s="51">
        <f t="shared" ref="I156:N156" si="77">+IPMT($D$134,I151,$D$133,$G$138)</f>
        <v>-4.8068265242777706</v>
      </c>
      <c r="J156" s="51">
        <f t="shared" si="77"/>
        <v>-4.585998603685117</v>
      </c>
      <c r="K156" s="51">
        <f t="shared" si="77"/>
        <v>-4.3508168682539399</v>
      </c>
      <c r="L156" s="51">
        <f t="shared" si="77"/>
        <v>-4.1003483200197381</v>
      </c>
      <c r="M156" s="51">
        <f t="shared" si="77"/>
        <v>-3.8335993161503108</v>
      </c>
      <c r="N156" s="51">
        <f t="shared" si="77"/>
        <v>-3.5495116270293727</v>
      </c>
      <c r="O156" s="51">
        <f t="shared" ref="O156:V156" si="78">+IPMT($D$134,O151,$D$133,$G$138)</f>
        <v>-3.2469582381155728</v>
      </c>
      <c r="P156" s="51">
        <f t="shared" si="78"/>
        <v>-2.9247388789223758</v>
      </c>
      <c r="Q156" s="51">
        <f t="shared" si="78"/>
        <v>-2.5815752613816216</v>
      </c>
      <c r="R156" s="51">
        <f t="shared" si="78"/>
        <v>-2.2161060087007174</v>
      </c>
      <c r="S156" s="51">
        <f t="shared" si="78"/>
        <v>-1.8268812545955553</v>
      </c>
      <c r="T156" s="51">
        <f t="shared" si="78"/>
        <v>-1.4123568914735576</v>
      </c>
      <c r="U156" s="51">
        <f t="shared" si="78"/>
        <v>-0.97088844474862945</v>
      </c>
      <c r="V156" s="51">
        <f t="shared" si="78"/>
        <v>-0.50072454898658125</v>
      </c>
    </row>
    <row r="157" spans="1:22" x14ac:dyDescent="0.2">
      <c r="A157" t="s">
        <v>115</v>
      </c>
      <c r="C157" s="11" t="s">
        <v>9</v>
      </c>
      <c r="H157" s="51">
        <f>SUM(H155:H156)</f>
        <v>-8.2041791487801383</v>
      </c>
      <c r="I157" s="51">
        <f t="shared" ref="I157:N157" si="79">SUM(I155:I156)</f>
        <v>-8.2041791487801383</v>
      </c>
      <c r="J157" s="51">
        <f t="shared" si="79"/>
        <v>-8.2041791487801383</v>
      </c>
      <c r="K157" s="51">
        <f t="shared" si="79"/>
        <v>-8.2041791487801383</v>
      </c>
      <c r="L157" s="51">
        <f t="shared" si="79"/>
        <v>-8.2041791487801383</v>
      </c>
      <c r="M157" s="51">
        <f t="shared" si="79"/>
        <v>-8.2041791487801383</v>
      </c>
      <c r="N157" s="51">
        <f t="shared" si="79"/>
        <v>-8.2041791487801383</v>
      </c>
      <c r="O157" s="51">
        <f t="shared" ref="O157:V157" si="80">SUM(O155:O156)</f>
        <v>-8.2041791487801383</v>
      </c>
      <c r="P157" s="51">
        <f t="shared" si="80"/>
        <v>-8.2041791487801383</v>
      </c>
      <c r="Q157" s="51">
        <f t="shared" si="80"/>
        <v>-8.2041791487801383</v>
      </c>
      <c r="R157" s="51">
        <f t="shared" si="80"/>
        <v>-8.2041791487801383</v>
      </c>
      <c r="S157" s="51">
        <f t="shared" si="80"/>
        <v>-8.2041791487801383</v>
      </c>
      <c r="T157" s="51">
        <f t="shared" si="80"/>
        <v>-8.2041791487801383</v>
      </c>
      <c r="U157" s="51">
        <f t="shared" si="80"/>
        <v>-8.2041791487801383</v>
      </c>
      <c r="V157" s="51">
        <f t="shared" si="80"/>
        <v>-8.2041791487801383</v>
      </c>
    </row>
    <row r="159" spans="1:22" x14ac:dyDescent="0.2">
      <c r="A159" t="s">
        <v>116</v>
      </c>
      <c r="C159" s="11" t="s">
        <v>9</v>
      </c>
      <c r="H159" s="51">
        <f>+G138+H155</f>
        <v>73.951177296581079</v>
      </c>
      <c r="I159" s="51">
        <f>+H159+I155</f>
        <v>70.553824672078719</v>
      </c>
      <c r="J159" s="51">
        <f t="shared" ref="J159:M159" si="81">+I159+J155</f>
        <v>66.935644126983703</v>
      </c>
      <c r="K159" s="51">
        <f t="shared" si="81"/>
        <v>63.082281846457505</v>
      </c>
      <c r="L159" s="51">
        <f t="shared" si="81"/>
        <v>58.978451017697104</v>
      </c>
      <c r="M159" s="51">
        <f t="shared" si="81"/>
        <v>54.607871185067275</v>
      </c>
      <c r="N159" s="51">
        <f t="shared" ref="N159" si="82">+M138+N155</f>
        <v>-4.654667521750766</v>
      </c>
      <c r="O159" s="51">
        <f t="shared" ref="O159" si="83">+N159+O155</f>
        <v>-9.6118884324153306</v>
      </c>
      <c r="P159" s="51">
        <f t="shared" ref="P159" si="84">+O159+P155</f>
        <v>-14.891328702273093</v>
      </c>
      <c r="Q159" s="51">
        <f t="shared" ref="Q159" si="85">+P159+Q155</f>
        <v>-20.513932589671612</v>
      </c>
      <c r="R159" s="51">
        <f t="shared" ref="R159" si="86">+Q159+R155</f>
        <v>-26.502005729751033</v>
      </c>
      <c r="S159" s="51">
        <f t="shared" ref="S159" si="87">+R159+S155</f>
        <v>-32.879303623935613</v>
      </c>
      <c r="T159" s="51">
        <f t="shared" ref="T159" si="88">+S138+T155</f>
        <v>-6.7918222573065803</v>
      </c>
      <c r="U159" s="51">
        <f t="shared" ref="U159" si="89">+T159+U155</f>
        <v>-14.025112961338088</v>
      </c>
      <c r="V159" s="51">
        <f t="shared" ref="V159" si="90">+U159+V155</f>
        <v>-21.728567561131644</v>
      </c>
    </row>
    <row r="161" spans="1:32" x14ac:dyDescent="0.2">
      <c r="A161" t="s">
        <v>74</v>
      </c>
      <c r="C161" s="11" t="s">
        <v>9</v>
      </c>
      <c r="H161" s="40">
        <f>+H92</f>
        <v>18.187540607200667</v>
      </c>
      <c r="I161" s="40">
        <f t="shared" ref="I161:N161" si="91">+I92</f>
        <v>18.64222912238068</v>
      </c>
      <c r="J161" s="40">
        <f t="shared" si="91"/>
        <v>19.108284850440199</v>
      </c>
      <c r="K161" s="40">
        <f t="shared" si="91"/>
        <v>19.585991971701205</v>
      </c>
      <c r="L161" s="40">
        <f t="shared" si="91"/>
        <v>20.075641770993734</v>
      </c>
      <c r="M161" s="40">
        <f t="shared" si="91"/>
        <v>20.577532815268576</v>
      </c>
      <c r="N161" s="40">
        <f t="shared" si="91"/>
        <v>21.091971135650294</v>
      </c>
      <c r="O161" s="40">
        <f t="shared" ref="O161:V161" si="92">+O92</f>
        <v>21.619270414041544</v>
      </c>
      <c r="P161" s="40">
        <f t="shared" si="92"/>
        <v>22.15975217439258</v>
      </c>
      <c r="Q161" s="40">
        <f t="shared" si="92"/>
        <v>22.713745978752399</v>
      </c>
      <c r="R161" s="40">
        <f t="shared" si="92"/>
        <v>23.281589628221202</v>
      </c>
      <c r="S161" s="40">
        <f t="shared" si="92"/>
        <v>23.86362936892673</v>
      </c>
      <c r="T161" s="40">
        <f t="shared" si="92"/>
        <v>24.460220103149901</v>
      </c>
      <c r="U161" s="40">
        <f t="shared" si="92"/>
        <v>25.071725605728648</v>
      </c>
      <c r="V161" s="40">
        <f t="shared" si="92"/>
        <v>25.698518745871858</v>
      </c>
    </row>
    <row r="163" spans="1:32" x14ac:dyDescent="0.2">
      <c r="A163" t="s">
        <v>117</v>
      </c>
      <c r="C163" s="11" t="s">
        <v>118</v>
      </c>
      <c r="H163" s="54">
        <f>-H161/H157</f>
        <v>2.2168629277073908</v>
      </c>
      <c r="I163" s="54">
        <f t="shared" ref="I163:N163" si="93">-I161/I157</f>
        <v>2.2722845009000752</v>
      </c>
      <c r="J163" s="54">
        <f t="shared" si="93"/>
        <v>2.3290916134225772</v>
      </c>
      <c r="K163" s="54">
        <f t="shared" si="93"/>
        <v>2.3873189037581417</v>
      </c>
      <c r="L163" s="54">
        <f t="shared" si="93"/>
        <v>2.4470018763520951</v>
      </c>
      <c r="M163" s="54">
        <f t="shared" si="93"/>
        <v>2.5081769232608973</v>
      </c>
      <c r="N163" s="54">
        <f t="shared" si="93"/>
        <v>2.5708813463424205</v>
      </c>
      <c r="O163" s="54">
        <f t="shared" ref="O163:V163" si="94">-O161/O157</f>
        <v>2.6351533800009799</v>
      </c>
      <c r="P163" s="54">
        <f t="shared" si="94"/>
        <v>2.7010322145010042</v>
      </c>
      <c r="Q163" s="54">
        <f t="shared" si="94"/>
        <v>2.76855801986353</v>
      </c>
      <c r="R163" s="54">
        <f t="shared" si="94"/>
        <v>2.8377719703601172</v>
      </c>
      <c r="S163" s="54">
        <f t="shared" si="94"/>
        <v>2.90871626961912</v>
      </c>
      <c r="T163" s="54">
        <f t="shared" si="94"/>
        <v>2.9814341763595982</v>
      </c>
      <c r="U163" s="54">
        <f t="shared" si="94"/>
        <v>3.055970030768588</v>
      </c>
      <c r="V163" s="54">
        <f t="shared" si="94"/>
        <v>3.1323692815378021</v>
      </c>
    </row>
    <row r="165" spans="1:32" x14ac:dyDescent="0.2">
      <c r="B165" s="11" t="s">
        <v>119</v>
      </c>
      <c r="C165" s="11" t="s">
        <v>120</v>
      </c>
    </row>
    <row r="166" spans="1:32" x14ac:dyDescent="0.2">
      <c r="B166" s="55">
        <f>+MIN(H163:V163)</f>
        <v>2.2168629277073908</v>
      </c>
      <c r="C166" s="55">
        <f>+AVERAGE(H163:V163)</f>
        <v>2.6501748956502893</v>
      </c>
    </row>
    <row r="168" spans="1:32" x14ac:dyDescent="0.2">
      <c r="A168" s="1" t="s">
        <v>121</v>
      </c>
    </row>
    <row r="170" spans="1:32" x14ac:dyDescent="0.2">
      <c r="A170" t="s">
        <v>59</v>
      </c>
      <c r="H170">
        <v>1</v>
      </c>
      <c r="I170">
        <v>2</v>
      </c>
      <c r="J170">
        <v>3</v>
      </c>
      <c r="K170">
        <v>4</v>
      </c>
      <c r="L170">
        <v>5</v>
      </c>
      <c r="M170">
        <v>6</v>
      </c>
      <c r="N170">
        <v>7</v>
      </c>
      <c r="O170">
        <v>8</v>
      </c>
      <c r="P170">
        <v>9</v>
      </c>
      <c r="Q170">
        <v>10</v>
      </c>
      <c r="R170">
        <v>11</v>
      </c>
      <c r="S170">
        <v>12</v>
      </c>
      <c r="T170">
        <v>13</v>
      </c>
      <c r="U170">
        <v>14</v>
      </c>
      <c r="V170">
        <v>15</v>
      </c>
      <c r="W170">
        <v>16</v>
      </c>
      <c r="X170">
        <v>17</v>
      </c>
      <c r="Y170">
        <v>18</v>
      </c>
      <c r="Z170">
        <v>19</v>
      </c>
      <c r="AA170">
        <v>20</v>
      </c>
      <c r="AB170">
        <v>21</v>
      </c>
      <c r="AC170">
        <v>22</v>
      </c>
      <c r="AD170">
        <v>23</v>
      </c>
      <c r="AE170">
        <v>24</v>
      </c>
      <c r="AF170">
        <v>25</v>
      </c>
    </row>
    <row r="171" spans="1:32" x14ac:dyDescent="0.2">
      <c r="A171" t="s">
        <v>122</v>
      </c>
      <c r="E171">
        <v>1</v>
      </c>
      <c r="F171">
        <v>2</v>
      </c>
      <c r="G171">
        <v>3</v>
      </c>
    </row>
    <row r="173" spans="1:32" x14ac:dyDescent="0.2">
      <c r="A173" t="s">
        <v>74</v>
      </c>
      <c r="C173" s="11" t="s">
        <v>9</v>
      </c>
      <c r="E173" s="32"/>
      <c r="F173" s="32"/>
      <c r="G173" s="32"/>
      <c r="H173" s="33">
        <f>+H92</f>
        <v>18.187540607200667</v>
      </c>
      <c r="I173" s="33">
        <f t="shared" ref="I173:N173" si="95">+I92</f>
        <v>18.64222912238068</v>
      </c>
      <c r="J173" s="33">
        <f t="shared" si="95"/>
        <v>19.108284850440199</v>
      </c>
      <c r="K173" s="33">
        <f t="shared" si="95"/>
        <v>19.585991971701205</v>
      </c>
      <c r="L173" s="33">
        <f t="shared" si="95"/>
        <v>20.075641770993734</v>
      </c>
      <c r="M173" s="33">
        <f t="shared" si="95"/>
        <v>20.577532815268576</v>
      </c>
      <c r="N173" s="33">
        <f t="shared" si="95"/>
        <v>21.091971135650294</v>
      </c>
      <c r="O173" s="33">
        <f t="shared" ref="O173:AF173" si="96">+O92</f>
        <v>21.619270414041544</v>
      </c>
      <c r="P173" s="33">
        <f t="shared" si="96"/>
        <v>22.15975217439258</v>
      </c>
      <c r="Q173" s="33">
        <f t="shared" si="96"/>
        <v>22.713745978752399</v>
      </c>
      <c r="R173" s="33">
        <f t="shared" si="96"/>
        <v>23.281589628221202</v>
      </c>
      <c r="S173" s="33">
        <f t="shared" si="96"/>
        <v>23.86362936892673</v>
      </c>
      <c r="T173" s="33">
        <f t="shared" si="96"/>
        <v>24.460220103149901</v>
      </c>
      <c r="U173" s="33">
        <f t="shared" si="96"/>
        <v>25.071725605728648</v>
      </c>
      <c r="V173" s="33">
        <f t="shared" si="96"/>
        <v>25.698518745871858</v>
      </c>
      <c r="W173" s="33">
        <f t="shared" si="96"/>
        <v>26.340981714518652</v>
      </c>
      <c r="X173" s="33">
        <f t="shared" si="96"/>
        <v>26.999506257381615</v>
      </c>
      <c r="Y173" s="33">
        <f t="shared" si="96"/>
        <v>27.67449391381615</v>
      </c>
      <c r="Z173" s="33">
        <f t="shared" si="96"/>
        <v>28.366356261661558</v>
      </c>
      <c r="AA173" s="33">
        <f t="shared" si="96"/>
        <v>29.075515168203093</v>
      </c>
      <c r="AB173" s="33">
        <f t="shared" si="96"/>
        <v>29.802403047408163</v>
      </c>
      <c r="AC173" s="33">
        <f t="shared" si="96"/>
        <v>30.547463123593374</v>
      </c>
      <c r="AD173" s="33">
        <f t="shared" si="96"/>
        <v>31.311149701683195</v>
      </c>
      <c r="AE173" s="33">
        <f t="shared" si="96"/>
        <v>32.09392844422527</v>
      </c>
      <c r="AF173" s="33">
        <f t="shared" si="96"/>
        <v>32.896276655330915</v>
      </c>
    </row>
    <row r="174" spans="1:32" x14ac:dyDescent="0.2">
      <c r="A174" t="s">
        <v>123</v>
      </c>
      <c r="C174" s="11" t="s">
        <v>9</v>
      </c>
      <c r="E174" s="32"/>
      <c r="F174" s="32"/>
      <c r="G174" s="32"/>
      <c r="H174" s="56">
        <f>+H157</f>
        <v>-8.2041791487801383</v>
      </c>
      <c r="I174" s="56">
        <f t="shared" ref="I174:N174" si="97">+I157</f>
        <v>-8.2041791487801383</v>
      </c>
      <c r="J174" s="56">
        <f t="shared" si="97"/>
        <v>-8.2041791487801383</v>
      </c>
      <c r="K174" s="56">
        <f t="shared" si="97"/>
        <v>-8.2041791487801383</v>
      </c>
      <c r="L174" s="56">
        <f t="shared" si="97"/>
        <v>-8.2041791487801383</v>
      </c>
      <c r="M174" s="56">
        <f t="shared" si="97"/>
        <v>-8.2041791487801383</v>
      </c>
      <c r="N174" s="56">
        <f t="shared" si="97"/>
        <v>-8.2041791487801383</v>
      </c>
      <c r="O174" s="56">
        <f t="shared" ref="O174:AF174" si="98">+O157</f>
        <v>-8.2041791487801383</v>
      </c>
      <c r="P174" s="56">
        <f t="shared" si="98"/>
        <v>-8.2041791487801383</v>
      </c>
      <c r="Q174" s="56">
        <f t="shared" si="98"/>
        <v>-8.2041791487801383</v>
      </c>
      <c r="R174" s="56">
        <f t="shared" si="98"/>
        <v>-8.2041791487801383</v>
      </c>
      <c r="S174" s="56">
        <f t="shared" si="98"/>
        <v>-8.2041791487801383</v>
      </c>
      <c r="T174" s="56">
        <f t="shared" si="98"/>
        <v>-8.2041791487801383</v>
      </c>
      <c r="U174" s="56">
        <f t="shared" si="98"/>
        <v>-8.2041791487801383</v>
      </c>
      <c r="V174" s="56">
        <f t="shared" si="98"/>
        <v>-8.2041791487801383</v>
      </c>
      <c r="W174" s="56">
        <f t="shared" si="98"/>
        <v>0</v>
      </c>
      <c r="X174" s="56">
        <f t="shared" si="98"/>
        <v>0</v>
      </c>
      <c r="Y174" s="56">
        <f t="shared" si="98"/>
        <v>0</v>
      </c>
      <c r="Z174" s="56">
        <f t="shared" si="98"/>
        <v>0</v>
      </c>
      <c r="AA174" s="56">
        <f t="shared" si="98"/>
        <v>0</v>
      </c>
      <c r="AB174" s="56">
        <f t="shared" si="98"/>
        <v>0</v>
      </c>
      <c r="AC174" s="56">
        <f t="shared" si="98"/>
        <v>0</v>
      </c>
      <c r="AD174" s="56">
        <f t="shared" si="98"/>
        <v>0</v>
      </c>
      <c r="AE174" s="56">
        <f t="shared" si="98"/>
        <v>0</v>
      </c>
      <c r="AF174" s="56">
        <f t="shared" si="98"/>
        <v>0</v>
      </c>
    </row>
    <row r="175" spans="1:32" x14ac:dyDescent="0.2">
      <c r="A175" t="s">
        <v>124</v>
      </c>
      <c r="C175" s="11" t="s">
        <v>9</v>
      </c>
      <c r="E175" s="57">
        <f>-E122</f>
        <v>-6.3000000000000007</v>
      </c>
      <c r="F175" s="57">
        <f t="shared" ref="F175:M175" si="99">-F122</f>
        <v>-25.200000000000003</v>
      </c>
      <c r="G175" s="57">
        <f>-G122-G147-G140</f>
        <v>-51.552445585292617</v>
      </c>
      <c r="H175" s="57">
        <f t="shared" si="99"/>
        <v>0</v>
      </c>
      <c r="I175" s="57">
        <f t="shared" si="99"/>
        <v>0</v>
      </c>
      <c r="J175" s="57">
        <f t="shared" si="99"/>
        <v>0</v>
      </c>
      <c r="K175" s="57">
        <f t="shared" si="99"/>
        <v>0</v>
      </c>
      <c r="L175" s="57">
        <f t="shared" si="99"/>
        <v>0</v>
      </c>
      <c r="M175" s="57">
        <f t="shared" si="99"/>
        <v>0</v>
      </c>
      <c r="N175" s="57">
        <f t="shared" ref="N175:AF175" si="100">-N122</f>
        <v>0</v>
      </c>
      <c r="O175" s="57">
        <f t="shared" si="100"/>
        <v>0</v>
      </c>
      <c r="P175" s="57">
        <f t="shared" si="100"/>
        <v>0</v>
      </c>
      <c r="Q175" s="57">
        <f t="shared" si="100"/>
        <v>0</v>
      </c>
      <c r="R175" s="57">
        <f t="shared" si="100"/>
        <v>0</v>
      </c>
      <c r="S175" s="57">
        <f t="shared" si="100"/>
        <v>0</v>
      </c>
      <c r="T175" s="57">
        <f t="shared" si="100"/>
        <v>0</v>
      </c>
      <c r="U175" s="57">
        <f t="shared" si="100"/>
        <v>0</v>
      </c>
      <c r="V175" s="57">
        <f t="shared" si="100"/>
        <v>0</v>
      </c>
      <c r="W175" s="57">
        <f t="shared" si="100"/>
        <v>0</v>
      </c>
      <c r="X175" s="57">
        <f t="shared" si="100"/>
        <v>0</v>
      </c>
      <c r="Y175" s="57">
        <f t="shared" si="100"/>
        <v>0</v>
      </c>
      <c r="Z175" s="57">
        <f t="shared" si="100"/>
        <v>0</v>
      </c>
      <c r="AA175" s="57">
        <f t="shared" si="100"/>
        <v>0</v>
      </c>
      <c r="AB175" s="57">
        <f t="shared" si="100"/>
        <v>0</v>
      </c>
      <c r="AC175" s="57">
        <f t="shared" si="100"/>
        <v>0</v>
      </c>
      <c r="AD175" s="57">
        <f t="shared" si="100"/>
        <v>0</v>
      </c>
      <c r="AE175" s="57">
        <f t="shared" si="100"/>
        <v>0</v>
      </c>
      <c r="AF175" s="57">
        <f t="shared" si="100"/>
        <v>0</v>
      </c>
    </row>
    <row r="176" spans="1:32" x14ac:dyDescent="0.2">
      <c r="A176" t="s">
        <v>121</v>
      </c>
      <c r="C176" s="11" t="s">
        <v>9</v>
      </c>
      <c r="E176" s="57">
        <f>SUM(E175)</f>
        <v>-6.3000000000000007</v>
      </c>
      <c r="F176" s="57">
        <f t="shared" ref="F176:G176" si="101">SUM(F175)</f>
        <v>-25.200000000000003</v>
      </c>
      <c r="G176" s="57">
        <f t="shared" si="101"/>
        <v>-51.552445585292617</v>
      </c>
      <c r="H176" s="57">
        <f>SUM(H173:H175)</f>
        <v>9.9833614584205286</v>
      </c>
      <c r="I176" s="57">
        <f t="shared" ref="I176:N176" si="102">SUM(I173:I175)</f>
        <v>10.438049973600542</v>
      </c>
      <c r="J176" s="57">
        <f t="shared" si="102"/>
        <v>10.904105701660061</v>
      </c>
      <c r="K176" s="57">
        <f t="shared" si="102"/>
        <v>11.381812822921066</v>
      </c>
      <c r="L176" s="57">
        <f t="shared" si="102"/>
        <v>11.871462622213595</v>
      </c>
      <c r="M176" s="57">
        <f t="shared" si="102"/>
        <v>12.373353666488438</v>
      </c>
      <c r="N176" s="57">
        <f t="shared" si="102"/>
        <v>12.887791986870155</v>
      </c>
      <c r="O176" s="57">
        <f t="shared" ref="O176:AF176" si="103">SUM(O173:O175)</f>
        <v>13.415091265261406</v>
      </c>
      <c r="P176" s="57">
        <f t="shared" si="103"/>
        <v>13.955573025612441</v>
      </c>
      <c r="Q176" s="57">
        <f t="shared" si="103"/>
        <v>14.509566829972261</v>
      </c>
      <c r="R176" s="57">
        <f t="shared" si="103"/>
        <v>15.077410479441063</v>
      </c>
      <c r="S176" s="57">
        <f t="shared" si="103"/>
        <v>15.659450220146592</v>
      </c>
      <c r="T176" s="57">
        <f t="shared" si="103"/>
        <v>16.256040954369762</v>
      </c>
      <c r="U176" s="57">
        <f t="shared" si="103"/>
        <v>16.86754645694851</v>
      </c>
      <c r="V176" s="57">
        <f t="shared" si="103"/>
        <v>17.49433959709172</v>
      </c>
      <c r="W176" s="57">
        <f t="shared" si="103"/>
        <v>26.340981714518652</v>
      </c>
      <c r="X176" s="57">
        <f t="shared" si="103"/>
        <v>26.999506257381615</v>
      </c>
      <c r="Y176" s="57">
        <f t="shared" si="103"/>
        <v>27.67449391381615</v>
      </c>
      <c r="Z176" s="57">
        <f t="shared" si="103"/>
        <v>28.366356261661558</v>
      </c>
      <c r="AA176" s="57">
        <f t="shared" si="103"/>
        <v>29.075515168203093</v>
      </c>
      <c r="AB176" s="57">
        <f t="shared" si="103"/>
        <v>29.802403047408163</v>
      </c>
      <c r="AC176" s="57">
        <f t="shared" si="103"/>
        <v>30.547463123593374</v>
      </c>
      <c r="AD176" s="57">
        <f t="shared" si="103"/>
        <v>31.311149701683195</v>
      </c>
      <c r="AE176" s="57">
        <f t="shared" si="103"/>
        <v>32.09392844422527</v>
      </c>
      <c r="AF176" s="57">
        <f t="shared" si="103"/>
        <v>32.896276655330915</v>
      </c>
    </row>
    <row r="177" spans="1:23" x14ac:dyDescent="0.2">
      <c r="C177" s="11"/>
    </row>
    <row r="178" spans="1:23" x14ac:dyDescent="0.2">
      <c r="A178" t="s">
        <v>125</v>
      </c>
      <c r="C178" s="11" t="s">
        <v>16</v>
      </c>
      <c r="E178" s="58">
        <f>+IRR(E176:AF176)</f>
        <v>0.15064675298175123</v>
      </c>
    </row>
    <row r="179" spans="1:23" x14ac:dyDescent="0.2">
      <c r="A179" t="s">
        <v>126</v>
      </c>
      <c r="C179" s="11" t="s">
        <v>9</v>
      </c>
      <c r="E179" s="43">
        <f>+NPV(0.1,E176:AF176)</f>
        <v>38.8495839129911</v>
      </c>
    </row>
    <row r="180" spans="1:23" x14ac:dyDescent="0.2">
      <c r="C180" s="11"/>
    </row>
    <row r="181" spans="1:23" x14ac:dyDescent="0.2">
      <c r="A181" s="1" t="s">
        <v>127</v>
      </c>
      <c r="C181" s="11"/>
    </row>
    <row r="182" spans="1:23" x14ac:dyDescent="0.2">
      <c r="A182" s="1"/>
      <c r="C182" s="11"/>
    </row>
    <row r="183" spans="1:23" x14ac:dyDescent="0.2">
      <c r="A183" s="1" t="s">
        <v>128</v>
      </c>
      <c r="C183" s="11"/>
    </row>
    <row r="184" spans="1:23" x14ac:dyDescent="0.2">
      <c r="A184" t="s">
        <v>129</v>
      </c>
      <c r="C184" s="11" t="s">
        <v>9</v>
      </c>
      <c r="G184" s="59">
        <f>+G142</f>
        <v>154.28235952180509</v>
      </c>
    </row>
    <row r="185" spans="1:23" x14ac:dyDescent="0.2">
      <c r="A185" t="s">
        <v>130</v>
      </c>
      <c r="C185" s="11" t="s">
        <v>9</v>
      </c>
      <c r="G185" s="59">
        <f>(-23.31)</f>
        <v>-23.31</v>
      </c>
    </row>
    <row r="186" spans="1:23" x14ac:dyDescent="0.2">
      <c r="A186" t="s">
        <v>131</v>
      </c>
      <c r="C186" s="11" t="s">
        <v>9</v>
      </c>
      <c r="G186" s="59">
        <f>SUM(G184:G185)</f>
        <v>130.97235952180509</v>
      </c>
    </row>
    <row r="187" spans="1:23" x14ac:dyDescent="0.2">
      <c r="A187" s="1"/>
      <c r="C187" s="11"/>
    </row>
    <row r="188" spans="1:23" x14ac:dyDescent="0.2">
      <c r="A188" s="1" t="s">
        <v>21</v>
      </c>
      <c r="C188" s="11"/>
    </row>
    <row r="189" spans="1:23" x14ac:dyDescent="0.2">
      <c r="A189" s="1" t="s">
        <v>22</v>
      </c>
      <c r="C189" s="11"/>
    </row>
    <row r="190" spans="1:23" x14ac:dyDescent="0.2">
      <c r="A190" s="1"/>
      <c r="C190" s="11"/>
    </row>
    <row r="191" spans="1:23" x14ac:dyDescent="0.2">
      <c r="A191" t="s">
        <v>132</v>
      </c>
      <c r="C191" s="11"/>
      <c r="E191" t="s">
        <v>21</v>
      </c>
      <c r="F191" s="1"/>
      <c r="H191" s="11">
        <v>1</v>
      </c>
      <c r="I191" s="11">
        <f>+H191+1</f>
        <v>2</v>
      </c>
      <c r="J191" s="11">
        <f t="shared" ref="J191:M191" si="104">+I191+1</f>
        <v>3</v>
      </c>
      <c r="K191" s="11">
        <f t="shared" si="104"/>
        <v>4</v>
      </c>
      <c r="L191" s="11">
        <f t="shared" si="104"/>
        <v>5</v>
      </c>
      <c r="M191" s="11">
        <f t="shared" si="104"/>
        <v>6</v>
      </c>
      <c r="N191" s="11">
        <v>7</v>
      </c>
      <c r="O191" s="11">
        <v>8</v>
      </c>
      <c r="P191" s="11">
        <v>9</v>
      </c>
      <c r="Q191" s="11">
        <v>10</v>
      </c>
      <c r="R191" s="11">
        <v>11</v>
      </c>
      <c r="S191" s="11">
        <v>12</v>
      </c>
      <c r="T191" s="11">
        <v>13</v>
      </c>
      <c r="U191" s="11">
        <v>14</v>
      </c>
      <c r="V191" s="11">
        <v>15</v>
      </c>
      <c r="W191" s="11">
        <v>16</v>
      </c>
    </row>
    <row r="192" spans="1:23" x14ac:dyDescent="0.2">
      <c r="C192" s="11"/>
    </row>
    <row r="193" spans="1:32" x14ac:dyDescent="0.2">
      <c r="A193" t="s">
        <v>128</v>
      </c>
      <c r="C193" s="11" t="s">
        <v>9</v>
      </c>
      <c r="H193" s="59">
        <f>+$G$186</f>
        <v>130.97235952180509</v>
      </c>
      <c r="I193" s="59">
        <f t="shared" ref="I193:M193" si="105">+$G$186</f>
        <v>130.97235952180509</v>
      </c>
      <c r="J193" s="59">
        <f t="shared" si="105"/>
        <v>130.97235952180509</v>
      </c>
      <c r="K193" s="59">
        <f t="shared" si="105"/>
        <v>130.97235952180509</v>
      </c>
      <c r="L193" s="59">
        <f t="shared" si="105"/>
        <v>130.97235952180509</v>
      </c>
      <c r="M193" s="59">
        <f t="shared" si="105"/>
        <v>130.97235952180509</v>
      </c>
      <c r="N193" s="59"/>
      <c r="O193" s="59"/>
      <c r="P193" s="59"/>
      <c r="Q193" s="59"/>
      <c r="R193" s="59"/>
      <c r="S193" s="59"/>
      <c r="T193" s="59"/>
      <c r="U193" s="59"/>
      <c r="V193" s="59"/>
      <c r="W193" s="59"/>
    </row>
    <row r="194" spans="1:32" x14ac:dyDescent="0.2">
      <c r="A194" t="s">
        <v>133</v>
      </c>
      <c r="C194" s="11" t="s">
        <v>9</v>
      </c>
      <c r="H194" s="60">
        <f>+H21</f>
        <v>0.2</v>
      </c>
      <c r="I194" s="60">
        <f t="shared" ref="I194:M194" si="106">+I21</f>
        <v>0.32</v>
      </c>
      <c r="J194" s="60">
        <f t="shared" si="106"/>
        <v>0.192</v>
      </c>
      <c r="K194" s="60">
        <f t="shared" si="106"/>
        <v>0.1152</v>
      </c>
      <c r="L194" s="60">
        <f t="shared" si="106"/>
        <v>0.1152</v>
      </c>
      <c r="M194" s="60">
        <f t="shared" si="106"/>
        <v>5.7599999999999998E-2</v>
      </c>
      <c r="N194" s="60"/>
      <c r="O194" s="60"/>
      <c r="P194" s="60"/>
      <c r="Q194" s="60"/>
      <c r="R194" s="60"/>
      <c r="S194" s="60"/>
      <c r="T194" s="60"/>
      <c r="U194" s="60"/>
      <c r="V194" s="60"/>
      <c r="W194" s="60"/>
    </row>
    <row r="195" spans="1:32" x14ac:dyDescent="0.2">
      <c r="A195" t="s">
        <v>22</v>
      </c>
      <c r="C195" s="11" t="s">
        <v>9</v>
      </c>
      <c r="H195" s="35">
        <f>+H193*H194</f>
        <v>26.19447190436102</v>
      </c>
      <c r="I195" s="35">
        <f t="shared" ref="I195:M195" si="107">+I193*I194</f>
        <v>41.911155046977626</v>
      </c>
      <c r="J195" s="35">
        <f t="shared" si="107"/>
        <v>25.146693028186579</v>
      </c>
      <c r="K195" s="35">
        <f t="shared" si="107"/>
        <v>15.088015816911946</v>
      </c>
      <c r="L195" s="35">
        <f t="shared" si="107"/>
        <v>15.088015816911946</v>
      </c>
      <c r="M195" s="35">
        <f t="shared" si="107"/>
        <v>7.5440079084559732</v>
      </c>
      <c r="N195" s="35"/>
      <c r="O195" s="35"/>
      <c r="P195" s="35"/>
      <c r="Q195" s="35"/>
      <c r="R195" s="35"/>
      <c r="S195" s="35"/>
      <c r="T195" s="35"/>
      <c r="U195" s="35"/>
      <c r="V195" s="35"/>
      <c r="W195" s="35"/>
    </row>
    <row r="196" spans="1:32" x14ac:dyDescent="0.2">
      <c r="C196" s="11"/>
    </row>
    <row r="197" spans="1:32" x14ac:dyDescent="0.2">
      <c r="A197" t="s">
        <v>134</v>
      </c>
      <c r="C197" s="11"/>
      <c r="H197" s="37">
        <f>+H195</f>
        <v>26.19447190436102</v>
      </c>
      <c r="I197" s="37">
        <f>+H197+I195</f>
        <v>68.10562695133865</v>
      </c>
      <c r="J197" s="37">
        <f t="shared" ref="J197:M197" si="108">+I197+J195</f>
        <v>93.252319979525225</v>
      </c>
      <c r="K197" s="37">
        <f t="shared" si="108"/>
        <v>108.34033579643717</v>
      </c>
      <c r="L197" s="37">
        <f t="shared" si="108"/>
        <v>123.42835161334912</v>
      </c>
      <c r="M197" s="37">
        <f t="shared" si="108"/>
        <v>130.97235952180509</v>
      </c>
      <c r="N197" s="37"/>
      <c r="O197" s="37"/>
      <c r="P197" s="37"/>
      <c r="Q197" s="37"/>
      <c r="R197" s="37"/>
      <c r="S197" s="37"/>
      <c r="T197" s="37"/>
      <c r="U197" s="37"/>
      <c r="V197" s="37"/>
      <c r="W197" s="37"/>
    </row>
    <row r="198" spans="1:32" x14ac:dyDescent="0.2">
      <c r="C198" s="11"/>
    </row>
    <row r="199" spans="1:32" x14ac:dyDescent="0.2">
      <c r="A199" t="s">
        <v>135</v>
      </c>
      <c r="C199" s="11" t="s">
        <v>9</v>
      </c>
      <c r="H199" s="59">
        <f>+H193-H197</f>
        <v>104.77788761744407</v>
      </c>
      <c r="I199" s="59">
        <f t="shared" ref="I199:M199" si="109">+I193-I197</f>
        <v>62.866732570466439</v>
      </c>
      <c r="J199" s="59">
        <f t="shared" si="109"/>
        <v>37.720039542279864</v>
      </c>
      <c r="K199" s="59">
        <f t="shared" si="109"/>
        <v>22.632023725367915</v>
      </c>
      <c r="L199" s="59">
        <f t="shared" si="109"/>
        <v>7.544007908455967</v>
      </c>
      <c r="M199" s="59">
        <f t="shared" si="109"/>
        <v>0</v>
      </c>
      <c r="N199" s="59"/>
      <c r="O199" s="59"/>
      <c r="P199" s="59"/>
      <c r="Q199" s="59"/>
      <c r="R199" s="59"/>
      <c r="S199" s="59"/>
      <c r="T199" s="59"/>
      <c r="U199" s="59"/>
      <c r="V199" s="59"/>
      <c r="W199" s="59"/>
    </row>
    <row r="200" spans="1:32" x14ac:dyDescent="0.2">
      <c r="C200" s="11"/>
    </row>
    <row r="201" spans="1:32" x14ac:dyDescent="0.2">
      <c r="C201" s="11"/>
    </row>
    <row r="202" spans="1:32" x14ac:dyDescent="0.2">
      <c r="C202" s="11"/>
    </row>
    <row r="203" spans="1:32" x14ac:dyDescent="0.2">
      <c r="A203" s="27" t="s">
        <v>136</v>
      </c>
      <c r="C203" s="11"/>
      <c r="E203">
        <f>+E71</f>
        <v>2025</v>
      </c>
      <c r="F203">
        <f>+E203+1</f>
        <v>2026</v>
      </c>
      <c r="G203">
        <f t="shared" ref="G203:M203" si="110">+F203+1</f>
        <v>2027</v>
      </c>
      <c r="H203">
        <f t="shared" si="110"/>
        <v>2028</v>
      </c>
      <c r="I203">
        <f t="shared" si="110"/>
        <v>2029</v>
      </c>
      <c r="J203">
        <f t="shared" si="110"/>
        <v>2030</v>
      </c>
      <c r="K203">
        <f t="shared" si="110"/>
        <v>2031</v>
      </c>
      <c r="L203">
        <f t="shared" si="110"/>
        <v>2032</v>
      </c>
      <c r="M203">
        <f t="shared" si="110"/>
        <v>2033</v>
      </c>
      <c r="N203">
        <v>2034</v>
      </c>
      <c r="O203">
        <f t="shared" ref="O203" si="111">+N203+1</f>
        <v>2035</v>
      </c>
      <c r="P203">
        <f t="shared" ref="P203" si="112">+O203+1</f>
        <v>2036</v>
      </c>
      <c r="Q203">
        <f t="shared" ref="Q203" si="113">+P203+1</f>
        <v>2037</v>
      </c>
      <c r="R203">
        <f t="shared" ref="R203" si="114">+Q203+1</f>
        <v>2038</v>
      </c>
      <c r="S203">
        <v>2035</v>
      </c>
      <c r="T203">
        <f t="shared" ref="T203" si="115">+S203+1</f>
        <v>2036</v>
      </c>
      <c r="U203">
        <f t="shared" ref="U203" si="116">+T203+1</f>
        <v>2037</v>
      </c>
      <c r="V203">
        <f t="shared" ref="V203" si="117">+U203+1</f>
        <v>2038</v>
      </c>
      <c r="W203">
        <f t="shared" ref="W203" si="118">+V203+1</f>
        <v>2039</v>
      </c>
      <c r="X203">
        <v>2036</v>
      </c>
      <c r="Y203">
        <f t="shared" ref="Y203" si="119">+X203+1</f>
        <v>2037</v>
      </c>
      <c r="Z203">
        <f t="shared" ref="Z203" si="120">+Y203+1</f>
        <v>2038</v>
      </c>
      <c r="AA203">
        <f t="shared" ref="AA203" si="121">+Z203+1</f>
        <v>2039</v>
      </c>
      <c r="AB203">
        <f t="shared" ref="AB203" si="122">+AA203+1</f>
        <v>2040</v>
      </c>
      <c r="AC203">
        <v>2037</v>
      </c>
      <c r="AD203">
        <f t="shared" ref="AD203" si="123">+AC203+1</f>
        <v>2038</v>
      </c>
      <c r="AE203">
        <f t="shared" ref="AE203" si="124">+AD203+1</f>
        <v>2039</v>
      </c>
      <c r="AF203">
        <f t="shared" ref="AF203" si="125">+AE203+1</f>
        <v>2040</v>
      </c>
    </row>
    <row r="204" spans="1:32" x14ac:dyDescent="0.2">
      <c r="A204" s="1"/>
      <c r="C204" s="11"/>
    </row>
    <row r="205" spans="1:32" x14ac:dyDescent="0.2">
      <c r="A205" t="s">
        <v>59</v>
      </c>
      <c r="C205" s="11"/>
      <c r="H205">
        <v>1</v>
      </c>
      <c r="I205">
        <f>+H205+1</f>
        <v>2</v>
      </c>
      <c r="J205">
        <f t="shared" ref="J205:M205" si="126">+I205+1</f>
        <v>3</v>
      </c>
      <c r="K205">
        <f t="shared" si="126"/>
        <v>4</v>
      </c>
      <c r="L205">
        <f t="shared" si="126"/>
        <v>5</v>
      </c>
      <c r="M205">
        <f t="shared" si="126"/>
        <v>6</v>
      </c>
      <c r="N205">
        <v>7</v>
      </c>
    </row>
    <row r="206" spans="1:32" x14ac:dyDescent="0.2">
      <c r="A206" t="s">
        <v>60</v>
      </c>
      <c r="C206" s="11"/>
      <c r="E206">
        <v>1</v>
      </c>
      <c r="F206">
        <v>2</v>
      </c>
      <c r="G206">
        <v>3</v>
      </c>
    </row>
    <row r="207" spans="1:32" x14ac:dyDescent="0.2">
      <c r="A207" s="1"/>
      <c r="C207" s="11"/>
    </row>
    <row r="208" spans="1:32" x14ac:dyDescent="0.2">
      <c r="A208" t="s">
        <v>74</v>
      </c>
      <c r="C208" s="11" t="s">
        <v>9</v>
      </c>
      <c r="H208" s="35">
        <f>+H92</f>
        <v>18.187540607200667</v>
      </c>
      <c r="I208" s="35">
        <f t="shared" ref="I208:N208" si="127">+I92</f>
        <v>18.64222912238068</v>
      </c>
      <c r="J208" s="35">
        <f t="shared" si="127"/>
        <v>19.108284850440199</v>
      </c>
      <c r="K208" s="35">
        <f t="shared" si="127"/>
        <v>19.585991971701205</v>
      </c>
      <c r="L208" s="35">
        <f t="shared" si="127"/>
        <v>20.075641770993734</v>
      </c>
      <c r="M208" s="35">
        <f t="shared" si="127"/>
        <v>20.577532815268576</v>
      </c>
      <c r="N208" s="35">
        <f t="shared" si="127"/>
        <v>21.091971135650294</v>
      </c>
      <c r="O208" s="35">
        <f t="shared" ref="O208:AF208" si="128">+O92</f>
        <v>21.619270414041544</v>
      </c>
      <c r="P208" s="35">
        <f t="shared" si="128"/>
        <v>22.15975217439258</v>
      </c>
      <c r="Q208" s="35">
        <f t="shared" si="128"/>
        <v>22.713745978752399</v>
      </c>
      <c r="R208" s="35">
        <f t="shared" si="128"/>
        <v>23.281589628221202</v>
      </c>
      <c r="S208" s="35">
        <f t="shared" si="128"/>
        <v>23.86362936892673</v>
      </c>
      <c r="T208" s="35">
        <f t="shared" si="128"/>
        <v>24.460220103149901</v>
      </c>
      <c r="U208" s="35">
        <f t="shared" si="128"/>
        <v>25.071725605728648</v>
      </c>
      <c r="V208" s="35">
        <f t="shared" si="128"/>
        <v>25.698518745871858</v>
      </c>
      <c r="W208" s="35">
        <f t="shared" si="128"/>
        <v>26.340981714518652</v>
      </c>
      <c r="X208" s="35">
        <f t="shared" si="128"/>
        <v>26.999506257381615</v>
      </c>
      <c r="Y208" s="35">
        <f t="shared" si="128"/>
        <v>27.67449391381615</v>
      </c>
      <c r="Z208" s="35">
        <f t="shared" si="128"/>
        <v>28.366356261661558</v>
      </c>
      <c r="AA208" s="35">
        <f t="shared" si="128"/>
        <v>29.075515168203093</v>
      </c>
      <c r="AB208" s="35">
        <f t="shared" si="128"/>
        <v>29.802403047408163</v>
      </c>
      <c r="AC208" s="35">
        <f t="shared" si="128"/>
        <v>30.547463123593374</v>
      </c>
      <c r="AD208" s="35">
        <f t="shared" si="128"/>
        <v>31.311149701683195</v>
      </c>
      <c r="AE208" s="35">
        <f t="shared" si="128"/>
        <v>32.09392844422527</v>
      </c>
      <c r="AF208" s="35">
        <f t="shared" si="128"/>
        <v>32.896276655330915</v>
      </c>
    </row>
    <row r="209" spans="1:32" x14ac:dyDescent="0.2">
      <c r="A209" t="s">
        <v>137</v>
      </c>
      <c r="C209" s="11" t="s">
        <v>9</v>
      </c>
      <c r="H209" s="35">
        <f>+H156</f>
        <v>-5.0141766844586657</v>
      </c>
      <c r="I209" s="35">
        <f t="shared" ref="I209:N209" si="129">+I156</f>
        <v>-4.8068265242777706</v>
      </c>
      <c r="J209" s="35">
        <f t="shared" si="129"/>
        <v>-4.585998603685117</v>
      </c>
      <c r="K209" s="35">
        <f t="shared" si="129"/>
        <v>-4.3508168682539399</v>
      </c>
      <c r="L209" s="35">
        <f t="shared" si="129"/>
        <v>-4.1003483200197381</v>
      </c>
      <c r="M209" s="35">
        <f t="shared" si="129"/>
        <v>-3.8335993161503108</v>
      </c>
      <c r="N209" s="35">
        <f t="shared" si="129"/>
        <v>-3.5495116270293727</v>
      </c>
      <c r="O209" s="35">
        <f t="shared" ref="O209:AF209" si="130">+O156</f>
        <v>-3.2469582381155728</v>
      </c>
      <c r="P209" s="35">
        <f t="shared" si="130"/>
        <v>-2.9247388789223758</v>
      </c>
      <c r="Q209" s="35">
        <f t="shared" si="130"/>
        <v>-2.5815752613816216</v>
      </c>
      <c r="R209" s="35">
        <f t="shared" si="130"/>
        <v>-2.2161060087007174</v>
      </c>
      <c r="S209" s="35">
        <f t="shared" si="130"/>
        <v>-1.8268812545955553</v>
      </c>
      <c r="T209" s="35">
        <f t="shared" si="130"/>
        <v>-1.4123568914735576</v>
      </c>
      <c r="U209" s="35">
        <f t="shared" si="130"/>
        <v>-0.97088844474862945</v>
      </c>
      <c r="V209" s="35">
        <f t="shared" si="130"/>
        <v>-0.50072454898658125</v>
      </c>
      <c r="W209" s="35">
        <f t="shared" si="130"/>
        <v>0</v>
      </c>
      <c r="X209" s="35">
        <f t="shared" si="130"/>
        <v>0</v>
      </c>
      <c r="Y209" s="35">
        <f t="shared" si="130"/>
        <v>0</v>
      </c>
      <c r="Z209" s="35">
        <f t="shared" si="130"/>
        <v>0</v>
      </c>
      <c r="AA209" s="35">
        <f t="shared" si="130"/>
        <v>0</v>
      </c>
      <c r="AB209" s="35">
        <f t="shared" si="130"/>
        <v>0</v>
      </c>
      <c r="AC209" s="35">
        <f t="shared" si="130"/>
        <v>0</v>
      </c>
      <c r="AD209" s="35">
        <f t="shared" si="130"/>
        <v>0</v>
      </c>
      <c r="AE209" s="35">
        <f t="shared" si="130"/>
        <v>0</v>
      </c>
      <c r="AF209" s="35">
        <f t="shared" si="130"/>
        <v>0</v>
      </c>
    </row>
    <row r="210" spans="1:32" x14ac:dyDescent="0.2">
      <c r="A210" t="s">
        <v>138</v>
      </c>
      <c r="C210" s="11" t="s">
        <v>9</v>
      </c>
      <c r="H210" s="35">
        <f>-H195</f>
        <v>-26.19447190436102</v>
      </c>
      <c r="I210" s="35">
        <f t="shared" ref="I210:N210" si="131">-I195</f>
        <v>-41.911155046977626</v>
      </c>
      <c r="J210" s="35">
        <f t="shared" si="131"/>
        <v>-25.146693028186579</v>
      </c>
      <c r="K210" s="35">
        <f t="shared" si="131"/>
        <v>-15.088015816911946</v>
      </c>
      <c r="L210" s="35">
        <f t="shared" si="131"/>
        <v>-15.088015816911946</v>
      </c>
      <c r="M210" s="35">
        <f t="shared" si="131"/>
        <v>-7.5440079084559732</v>
      </c>
      <c r="N210" s="35">
        <f t="shared" si="131"/>
        <v>0</v>
      </c>
      <c r="O210" s="35">
        <f t="shared" ref="O210:AF210" si="132">-O195</f>
        <v>0</v>
      </c>
      <c r="P210" s="35">
        <f t="shared" si="132"/>
        <v>0</v>
      </c>
      <c r="Q210" s="35">
        <f t="shared" si="132"/>
        <v>0</v>
      </c>
      <c r="R210" s="35">
        <f t="shared" si="132"/>
        <v>0</v>
      </c>
      <c r="S210" s="35">
        <f t="shared" si="132"/>
        <v>0</v>
      </c>
      <c r="T210" s="35">
        <f t="shared" si="132"/>
        <v>0</v>
      </c>
      <c r="U210" s="35">
        <f t="shared" si="132"/>
        <v>0</v>
      </c>
      <c r="V210" s="35">
        <f t="shared" si="132"/>
        <v>0</v>
      </c>
      <c r="W210" s="35">
        <f t="shared" si="132"/>
        <v>0</v>
      </c>
      <c r="X210" s="35">
        <f t="shared" si="132"/>
        <v>0</v>
      </c>
      <c r="Y210" s="35">
        <f t="shared" si="132"/>
        <v>0</v>
      </c>
      <c r="Z210" s="35">
        <f t="shared" si="132"/>
        <v>0</v>
      </c>
      <c r="AA210" s="35">
        <f t="shared" si="132"/>
        <v>0</v>
      </c>
      <c r="AB210" s="35">
        <f t="shared" si="132"/>
        <v>0</v>
      </c>
      <c r="AC210" s="35">
        <f t="shared" si="132"/>
        <v>0</v>
      </c>
      <c r="AD210" s="35">
        <f t="shared" si="132"/>
        <v>0</v>
      </c>
      <c r="AE210" s="35">
        <f t="shared" si="132"/>
        <v>0</v>
      </c>
      <c r="AF210" s="35">
        <f t="shared" si="132"/>
        <v>0</v>
      </c>
    </row>
    <row r="211" spans="1:32" x14ac:dyDescent="0.2">
      <c r="A211" t="s">
        <v>139</v>
      </c>
      <c r="C211" s="11" t="s">
        <v>9</v>
      </c>
      <c r="H211" s="35">
        <f>SUM(H208:H210)</f>
        <v>-13.021107981619018</v>
      </c>
      <c r="I211" s="35">
        <f t="shared" ref="I211:N211" si="133">SUM(I208:I210)</f>
        <v>-28.075752448874717</v>
      </c>
      <c r="J211" s="35">
        <f t="shared" si="133"/>
        <v>-10.624406781431496</v>
      </c>
      <c r="K211" s="35">
        <f t="shared" si="133"/>
        <v>0.1471592865353184</v>
      </c>
      <c r="L211" s="35">
        <f t="shared" si="133"/>
        <v>0.88727763406205007</v>
      </c>
      <c r="M211" s="35">
        <f t="shared" si="133"/>
        <v>9.1999255906622892</v>
      </c>
      <c r="N211" s="35">
        <f t="shared" si="133"/>
        <v>17.542459508620922</v>
      </c>
      <c r="O211" s="35">
        <f t="shared" ref="O211:AF211" si="134">SUM(O208:O210)</f>
        <v>18.37231217592597</v>
      </c>
      <c r="P211" s="35">
        <f t="shared" si="134"/>
        <v>19.235013295470203</v>
      </c>
      <c r="Q211" s="35">
        <f t="shared" si="134"/>
        <v>20.132170717370776</v>
      </c>
      <c r="R211" s="35">
        <f t="shared" si="134"/>
        <v>21.065483619520485</v>
      </c>
      <c r="S211" s="35">
        <f t="shared" si="134"/>
        <v>22.036748114331175</v>
      </c>
      <c r="T211" s="35">
        <f t="shared" si="134"/>
        <v>23.047863211676344</v>
      </c>
      <c r="U211" s="35">
        <f t="shared" si="134"/>
        <v>24.100837160980021</v>
      </c>
      <c r="V211" s="35">
        <f t="shared" si="134"/>
        <v>25.197794196885276</v>
      </c>
      <c r="W211" s="35">
        <f t="shared" si="134"/>
        <v>26.340981714518652</v>
      </c>
      <c r="X211" s="35">
        <f t="shared" si="134"/>
        <v>26.999506257381615</v>
      </c>
      <c r="Y211" s="35">
        <f t="shared" si="134"/>
        <v>27.67449391381615</v>
      </c>
      <c r="Z211" s="35">
        <f t="shared" si="134"/>
        <v>28.366356261661558</v>
      </c>
      <c r="AA211" s="35">
        <f t="shared" si="134"/>
        <v>29.075515168203093</v>
      </c>
      <c r="AB211" s="35">
        <f t="shared" si="134"/>
        <v>29.802403047408163</v>
      </c>
      <c r="AC211" s="35">
        <f t="shared" si="134"/>
        <v>30.547463123593374</v>
      </c>
      <c r="AD211" s="35">
        <f t="shared" si="134"/>
        <v>31.311149701683195</v>
      </c>
      <c r="AE211" s="35">
        <f t="shared" si="134"/>
        <v>32.09392844422527</v>
      </c>
      <c r="AF211" s="35">
        <f t="shared" si="134"/>
        <v>32.896276655330915</v>
      </c>
    </row>
    <row r="212" spans="1:32" x14ac:dyDescent="0.2">
      <c r="A212" t="s">
        <v>140</v>
      </c>
      <c r="C212" s="11" t="s">
        <v>9</v>
      </c>
      <c r="H212" s="35">
        <f>-H211*$E$19</f>
        <v>2.7344326761399937</v>
      </c>
      <c r="I212" s="35">
        <f t="shared" ref="I212:N212" si="135">-I211*$E$19</f>
        <v>5.8959080142636902</v>
      </c>
      <c r="J212" s="35">
        <f t="shared" si="135"/>
        <v>2.2311254241006142</v>
      </c>
      <c r="K212" s="35">
        <f t="shared" si="135"/>
        <v>-3.0903450172416864E-2</v>
      </c>
      <c r="L212" s="35">
        <f t="shared" si="135"/>
        <v>-0.18632830315303051</v>
      </c>
      <c r="M212" s="35">
        <f t="shared" si="135"/>
        <v>-1.9319843740390807</v>
      </c>
      <c r="N212" s="35">
        <f t="shared" si="135"/>
        <v>-3.6839164968103937</v>
      </c>
      <c r="O212" s="35">
        <f t="shared" ref="O212:AF212" si="136">-O211*$E$19</f>
        <v>-3.8581855569444534</v>
      </c>
      <c r="P212" s="35">
        <f t="shared" si="136"/>
        <v>-4.0393527920487422</v>
      </c>
      <c r="Q212" s="35">
        <f t="shared" si="136"/>
        <v>-4.2277558506478625</v>
      </c>
      <c r="R212" s="35">
        <f t="shared" si="136"/>
        <v>-4.4237515600993014</v>
      </c>
      <c r="S212" s="35">
        <f t="shared" si="136"/>
        <v>-4.6277171040095464</v>
      </c>
      <c r="T212" s="35">
        <f t="shared" si="136"/>
        <v>-4.8400512744520316</v>
      </c>
      <c r="U212" s="35">
        <f t="shared" si="136"/>
        <v>-5.0611758038058046</v>
      </c>
      <c r="V212" s="35">
        <f t="shared" si="136"/>
        <v>-5.2915367813459078</v>
      </c>
      <c r="W212" s="35">
        <f t="shared" si="136"/>
        <v>-5.5316061600489164</v>
      </c>
      <c r="X212" s="35">
        <f t="shared" si="136"/>
        <v>-5.6698963140501393</v>
      </c>
      <c r="Y212" s="35">
        <f t="shared" si="136"/>
        <v>-5.8116437219013912</v>
      </c>
      <c r="Z212" s="35">
        <f t="shared" si="136"/>
        <v>-5.9569348149489265</v>
      </c>
      <c r="AA212" s="35">
        <f t="shared" si="136"/>
        <v>-6.1058581853226492</v>
      </c>
      <c r="AB212" s="35">
        <f t="shared" si="136"/>
        <v>-6.2585046399557136</v>
      </c>
      <c r="AC212" s="35">
        <f t="shared" si="136"/>
        <v>-6.4149672559546085</v>
      </c>
      <c r="AD212" s="35">
        <f t="shared" si="136"/>
        <v>-6.5753414373534707</v>
      </c>
      <c r="AE212" s="35">
        <f t="shared" si="136"/>
        <v>-6.7397249732873066</v>
      </c>
      <c r="AF212" s="35">
        <f t="shared" si="136"/>
        <v>-6.9082180976194918</v>
      </c>
    </row>
    <row r="213" spans="1:32" x14ac:dyDescent="0.2">
      <c r="A213" t="s">
        <v>141</v>
      </c>
      <c r="C213" s="11" t="s">
        <v>9</v>
      </c>
      <c r="H213" s="35">
        <v>0</v>
      </c>
      <c r="I213" s="35">
        <f>0.3*G184</f>
        <v>46.284707856541523</v>
      </c>
      <c r="J213" s="35">
        <v>0</v>
      </c>
      <c r="K213" s="35">
        <v>0</v>
      </c>
      <c r="L213" s="35">
        <v>0</v>
      </c>
      <c r="M213" s="35">
        <v>0</v>
      </c>
      <c r="N213" s="35">
        <v>1</v>
      </c>
      <c r="O213" s="35">
        <f t="shared" ref="O213" si="137">0.3*M184</f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2</v>
      </c>
      <c r="U213" s="35">
        <f t="shared" ref="U213" si="138">0.3*S184</f>
        <v>0</v>
      </c>
      <c r="V213" s="35">
        <v>0</v>
      </c>
      <c r="W213" s="35">
        <v>0</v>
      </c>
      <c r="X213" s="35">
        <v>0</v>
      </c>
      <c r="Y213" s="35">
        <v>0</v>
      </c>
      <c r="Z213" s="35">
        <v>3</v>
      </c>
      <c r="AA213" s="35">
        <f t="shared" ref="AA213" si="139">0.3*Y184</f>
        <v>0</v>
      </c>
      <c r="AB213" s="35">
        <v>0</v>
      </c>
      <c r="AC213" s="35">
        <v>0</v>
      </c>
      <c r="AD213" s="35">
        <v>0</v>
      </c>
      <c r="AE213" s="35">
        <v>0</v>
      </c>
      <c r="AF213" s="35">
        <v>4</v>
      </c>
    </row>
    <row r="214" spans="1:32" x14ac:dyDescent="0.2">
      <c r="A214" t="s">
        <v>142</v>
      </c>
      <c r="C214" s="11" t="s">
        <v>9</v>
      </c>
      <c r="H214" s="35">
        <f>+H212-H213</f>
        <v>2.7344326761399937</v>
      </c>
      <c r="I214" s="35">
        <f t="shared" ref="I214:N214" si="140">+I212-I213</f>
        <v>-40.388799842277834</v>
      </c>
      <c r="J214" s="35">
        <f t="shared" si="140"/>
        <v>2.2311254241006142</v>
      </c>
      <c r="K214" s="35">
        <f t="shared" si="140"/>
        <v>-3.0903450172416864E-2</v>
      </c>
      <c r="L214" s="35">
        <f t="shared" si="140"/>
        <v>-0.18632830315303051</v>
      </c>
      <c r="M214" s="35">
        <f t="shared" si="140"/>
        <v>-1.9319843740390807</v>
      </c>
      <c r="N214" s="35">
        <f t="shared" si="140"/>
        <v>-4.6839164968103937</v>
      </c>
      <c r="O214" s="35">
        <f t="shared" ref="O214:AF214" si="141">+O212-O213</f>
        <v>-3.8581855569444534</v>
      </c>
      <c r="P214" s="35">
        <f t="shared" si="141"/>
        <v>-4.0393527920487422</v>
      </c>
      <c r="Q214" s="35">
        <f t="shared" si="141"/>
        <v>-4.2277558506478625</v>
      </c>
      <c r="R214" s="35">
        <f t="shared" si="141"/>
        <v>-4.4237515600993014</v>
      </c>
      <c r="S214" s="35">
        <f t="shared" si="141"/>
        <v>-4.6277171040095464</v>
      </c>
      <c r="T214" s="35">
        <f t="shared" si="141"/>
        <v>-6.8400512744520316</v>
      </c>
      <c r="U214" s="35">
        <f t="shared" si="141"/>
        <v>-5.0611758038058046</v>
      </c>
      <c r="V214" s="35">
        <f t="shared" si="141"/>
        <v>-5.2915367813459078</v>
      </c>
      <c r="W214" s="35">
        <f t="shared" si="141"/>
        <v>-5.5316061600489164</v>
      </c>
      <c r="X214" s="35">
        <f t="shared" si="141"/>
        <v>-5.6698963140501393</v>
      </c>
      <c r="Y214" s="35">
        <f t="shared" si="141"/>
        <v>-5.8116437219013912</v>
      </c>
      <c r="Z214" s="35">
        <f t="shared" si="141"/>
        <v>-8.9569348149489265</v>
      </c>
      <c r="AA214" s="35">
        <f t="shared" si="141"/>
        <v>-6.1058581853226492</v>
      </c>
      <c r="AB214" s="35">
        <f t="shared" si="141"/>
        <v>-6.2585046399557136</v>
      </c>
      <c r="AC214" s="35">
        <f t="shared" si="141"/>
        <v>-6.4149672559546085</v>
      </c>
      <c r="AD214" s="35">
        <f t="shared" si="141"/>
        <v>-6.5753414373534707</v>
      </c>
      <c r="AE214" s="35">
        <f t="shared" si="141"/>
        <v>-6.7397249732873066</v>
      </c>
      <c r="AF214" s="35">
        <f t="shared" si="141"/>
        <v>-10.908218097619493</v>
      </c>
    </row>
    <row r="215" spans="1:32" x14ac:dyDescent="0.2">
      <c r="A215" t="s">
        <v>143</v>
      </c>
      <c r="C215" s="11" t="s">
        <v>9</v>
      </c>
      <c r="H215" s="35">
        <f>+H211+H214</f>
        <v>-10.286675305479024</v>
      </c>
      <c r="I215" s="35">
        <f>+I211-I214</f>
        <v>12.313047393403117</v>
      </c>
      <c r="J215" s="35">
        <f t="shared" ref="J215:N215" si="142">+J211+J214</f>
        <v>-8.3932813573308813</v>
      </c>
      <c r="K215" s="35">
        <f t="shared" si="142"/>
        <v>0.11625583636290154</v>
      </c>
      <c r="L215" s="35">
        <f t="shared" si="142"/>
        <v>0.70094933090901956</v>
      </c>
      <c r="M215" s="35">
        <f t="shared" si="142"/>
        <v>7.2679412166232087</v>
      </c>
      <c r="N215" s="35">
        <f t="shared" si="142"/>
        <v>12.858543011810529</v>
      </c>
      <c r="O215" s="35">
        <f t="shared" ref="O215" si="143">+O211-O214</f>
        <v>22.230497732870422</v>
      </c>
      <c r="P215" s="35">
        <f t="shared" ref="P215:T215" si="144">+P211+P214</f>
        <v>15.195660503421461</v>
      </c>
      <c r="Q215" s="35">
        <f t="shared" si="144"/>
        <v>15.904414866722913</v>
      </c>
      <c r="R215" s="35">
        <f t="shared" si="144"/>
        <v>16.641732059421184</v>
      </c>
      <c r="S215" s="35">
        <f t="shared" si="144"/>
        <v>17.409031010321627</v>
      </c>
      <c r="T215" s="35">
        <f t="shared" si="144"/>
        <v>16.207811937224314</v>
      </c>
      <c r="U215" s="35">
        <f t="shared" ref="U215" si="145">+U211-U214</f>
        <v>29.162012964785823</v>
      </c>
      <c r="V215" s="35">
        <f t="shared" ref="V215:Z215" si="146">+V211+V214</f>
        <v>19.906257415539368</v>
      </c>
      <c r="W215" s="35">
        <f t="shared" si="146"/>
        <v>20.809375554469735</v>
      </c>
      <c r="X215" s="35">
        <f t="shared" si="146"/>
        <v>21.329609943331477</v>
      </c>
      <c r="Y215" s="35">
        <f t="shared" si="146"/>
        <v>21.86285019191476</v>
      </c>
      <c r="Z215" s="35">
        <f t="shared" si="146"/>
        <v>19.409421446712631</v>
      </c>
      <c r="AA215" s="35">
        <f t="shared" ref="AA215" si="147">+AA211-AA214</f>
        <v>35.181373353525743</v>
      </c>
      <c r="AB215" s="35">
        <f t="shared" ref="AB215:AF215" si="148">+AB211+AB214</f>
        <v>23.543898407452449</v>
      </c>
      <c r="AC215" s="35">
        <f t="shared" si="148"/>
        <v>24.132495867638767</v>
      </c>
      <c r="AD215" s="35">
        <f t="shared" si="148"/>
        <v>24.735808264329727</v>
      </c>
      <c r="AE215" s="35">
        <f t="shared" si="148"/>
        <v>25.354203470937964</v>
      </c>
      <c r="AF215" s="35">
        <f t="shared" si="148"/>
        <v>21.988058557711422</v>
      </c>
    </row>
    <row r="216" spans="1:32" x14ac:dyDescent="0.2">
      <c r="C216" s="11"/>
    </row>
    <row r="217" spans="1:32" x14ac:dyDescent="0.2">
      <c r="C217" s="11"/>
    </row>
    <row r="218" spans="1:32" x14ac:dyDescent="0.2">
      <c r="A218" s="1" t="s">
        <v>144</v>
      </c>
      <c r="C218" s="11"/>
    </row>
    <row r="219" spans="1:32" x14ac:dyDescent="0.2">
      <c r="A219" t="s">
        <v>145</v>
      </c>
      <c r="C219" s="11" t="s">
        <v>9</v>
      </c>
      <c r="H219" s="35">
        <f>+H215</f>
        <v>-10.286675305479024</v>
      </c>
      <c r="I219" s="35">
        <f t="shared" ref="I219:N219" si="149">+I215</f>
        <v>12.313047393403117</v>
      </c>
      <c r="J219" s="35">
        <f t="shared" si="149"/>
        <v>-8.3932813573308813</v>
      </c>
      <c r="K219" s="35">
        <f t="shared" si="149"/>
        <v>0.11625583636290154</v>
      </c>
      <c r="L219" s="35">
        <f t="shared" si="149"/>
        <v>0.70094933090901956</v>
      </c>
      <c r="M219" s="35">
        <f t="shared" si="149"/>
        <v>7.2679412166232087</v>
      </c>
      <c r="N219" s="35">
        <f t="shared" si="149"/>
        <v>12.858543011810529</v>
      </c>
      <c r="O219" s="35">
        <f t="shared" ref="O219:AF219" si="150">+O215</f>
        <v>22.230497732870422</v>
      </c>
      <c r="P219" s="35">
        <f t="shared" si="150"/>
        <v>15.195660503421461</v>
      </c>
      <c r="Q219" s="35">
        <f t="shared" si="150"/>
        <v>15.904414866722913</v>
      </c>
      <c r="R219" s="35">
        <f t="shared" si="150"/>
        <v>16.641732059421184</v>
      </c>
      <c r="S219" s="35">
        <f t="shared" si="150"/>
        <v>17.409031010321627</v>
      </c>
      <c r="T219" s="35">
        <f t="shared" si="150"/>
        <v>16.207811937224314</v>
      </c>
      <c r="U219" s="35">
        <f t="shared" si="150"/>
        <v>29.162012964785823</v>
      </c>
      <c r="V219" s="35">
        <f t="shared" si="150"/>
        <v>19.906257415539368</v>
      </c>
      <c r="W219" s="35">
        <f t="shared" si="150"/>
        <v>20.809375554469735</v>
      </c>
      <c r="X219" s="35">
        <f t="shared" si="150"/>
        <v>21.329609943331477</v>
      </c>
      <c r="Y219" s="35">
        <f t="shared" si="150"/>
        <v>21.86285019191476</v>
      </c>
      <c r="Z219" s="35">
        <f t="shared" si="150"/>
        <v>19.409421446712631</v>
      </c>
      <c r="AA219" s="35">
        <f t="shared" si="150"/>
        <v>35.181373353525743</v>
      </c>
      <c r="AB219" s="35">
        <f t="shared" si="150"/>
        <v>23.543898407452449</v>
      </c>
      <c r="AC219" s="35">
        <f t="shared" si="150"/>
        <v>24.132495867638767</v>
      </c>
      <c r="AD219" s="35">
        <f t="shared" si="150"/>
        <v>24.735808264329727</v>
      </c>
      <c r="AE219" s="35">
        <f t="shared" si="150"/>
        <v>25.354203470937964</v>
      </c>
      <c r="AF219" s="35">
        <f t="shared" si="150"/>
        <v>21.988058557711422</v>
      </c>
    </row>
    <row r="220" spans="1:32" x14ac:dyDescent="0.2">
      <c r="A220" t="s">
        <v>146</v>
      </c>
      <c r="C220" s="11" t="s">
        <v>9</v>
      </c>
      <c r="H220" s="35">
        <f>-H210</f>
        <v>26.19447190436102</v>
      </c>
      <c r="I220" s="35">
        <f t="shared" ref="I220:N220" si="151">-I210</f>
        <v>41.911155046977626</v>
      </c>
      <c r="J220" s="35">
        <f t="shared" si="151"/>
        <v>25.146693028186579</v>
      </c>
      <c r="K220" s="35">
        <f t="shared" si="151"/>
        <v>15.088015816911946</v>
      </c>
      <c r="L220" s="35">
        <f t="shared" si="151"/>
        <v>15.088015816911946</v>
      </c>
      <c r="M220" s="35">
        <f t="shared" si="151"/>
        <v>7.5440079084559732</v>
      </c>
      <c r="N220" s="35">
        <f t="shared" si="151"/>
        <v>0</v>
      </c>
      <c r="O220" s="35">
        <f t="shared" ref="O220:AF220" si="152">-O210</f>
        <v>0</v>
      </c>
      <c r="P220" s="35">
        <f t="shared" si="152"/>
        <v>0</v>
      </c>
      <c r="Q220" s="35">
        <f t="shared" si="152"/>
        <v>0</v>
      </c>
      <c r="R220" s="35">
        <f t="shared" si="152"/>
        <v>0</v>
      </c>
      <c r="S220" s="35">
        <f t="shared" si="152"/>
        <v>0</v>
      </c>
      <c r="T220" s="35">
        <f t="shared" si="152"/>
        <v>0</v>
      </c>
      <c r="U220" s="35">
        <f t="shared" si="152"/>
        <v>0</v>
      </c>
      <c r="V220" s="35">
        <f t="shared" si="152"/>
        <v>0</v>
      </c>
      <c r="W220" s="35">
        <f t="shared" si="152"/>
        <v>0</v>
      </c>
      <c r="X220" s="35">
        <f t="shared" si="152"/>
        <v>0</v>
      </c>
      <c r="Y220" s="35">
        <f t="shared" si="152"/>
        <v>0</v>
      </c>
      <c r="Z220" s="35">
        <f t="shared" si="152"/>
        <v>0</v>
      </c>
      <c r="AA220" s="35">
        <f t="shared" si="152"/>
        <v>0</v>
      </c>
      <c r="AB220" s="35">
        <f t="shared" si="152"/>
        <v>0</v>
      </c>
      <c r="AC220" s="35">
        <f t="shared" si="152"/>
        <v>0</v>
      </c>
      <c r="AD220" s="35">
        <f t="shared" si="152"/>
        <v>0</v>
      </c>
      <c r="AE220" s="35">
        <f t="shared" si="152"/>
        <v>0</v>
      </c>
      <c r="AF220" s="35">
        <f t="shared" si="152"/>
        <v>0</v>
      </c>
    </row>
    <row r="221" spans="1:32" x14ac:dyDescent="0.2">
      <c r="A221" t="s">
        <v>147</v>
      </c>
      <c r="C221" s="11" t="s">
        <v>9</v>
      </c>
      <c r="H221" s="35">
        <f>+H155</f>
        <v>-3.1900024643214722</v>
      </c>
      <c r="I221" s="35">
        <f t="shared" ref="I221:N221" si="153">+I155</f>
        <v>-3.3973526245023673</v>
      </c>
      <c r="J221" s="35">
        <f t="shared" si="153"/>
        <v>-3.6181805450950217</v>
      </c>
      <c r="K221" s="35">
        <f t="shared" si="153"/>
        <v>-3.853362280526198</v>
      </c>
      <c r="L221" s="35">
        <f t="shared" si="153"/>
        <v>-4.1038308287604011</v>
      </c>
      <c r="M221" s="35">
        <f t="shared" si="153"/>
        <v>-4.3705798326298266</v>
      </c>
      <c r="N221" s="35">
        <f t="shared" si="153"/>
        <v>-4.654667521750766</v>
      </c>
      <c r="O221" s="35">
        <f t="shared" ref="O221:AF221" si="154">+O155</f>
        <v>-4.9572209106645655</v>
      </c>
      <c r="P221" s="35">
        <f t="shared" si="154"/>
        <v>-5.2794402698577629</v>
      </c>
      <c r="Q221" s="35">
        <f t="shared" si="154"/>
        <v>-5.6226038873985171</v>
      </c>
      <c r="R221" s="35">
        <f t="shared" si="154"/>
        <v>-5.9880731400794209</v>
      </c>
      <c r="S221" s="35">
        <f t="shared" si="154"/>
        <v>-6.3772978941845828</v>
      </c>
      <c r="T221" s="35">
        <f t="shared" si="154"/>
        <v>-6.7918222573065803</v>
      </c>
      <c r="U221" s="35">
        <f t="shared" si="154"/>
        <v>-7.2332907040315089</v>
      </c>
      <c r="V221" s="35">
        <f t="shared" si="154"/>
        <v>-7.7034545997935568</v>
      </c>
      <c r="W221" s="35">
        <f t="shared" si="154"/>
        <v>0</v>
      </c>
      <c r="X221" s="35">
        <f t="shared" si="154"/>
        <v>0</v>
      </c>
      <c r="Y221" s="35">
        <f t="shared" si="154"/>
        <v>0</v>
      </c>
      <c r="Z221" s="35">
        <f t="shared" si="154"/>
        <v>0</v>
      </c>
      <c r="AA221" s="35">
        <f t="shared" si="154"/>
        <v>0</v>
      </c>
      <c r="AB221" s="35">
        <f t="shared" si="154"/>
        <v>0</v>
      </c>
      <c r="AC221" s="35">
        <f t="shared" si="154"/>
        <v>0</v>
      </c>
      <c r="AD221" s="35">
        <f t="shared" si="154"/>
        <v>0</v>
      </c>
      <c r="AE221" s="35">
        <f t="shared" si="154"/>
        <v>0</v>
      </c>
      <c r="AF221" s="35">
        <f t="shared" si="154"/>
        <v>0</v>
      </c>
    </row>
    <row r="222" spans="1:32" x14ac:dyDescent="0.2">
      <c r="A222" t="s">
        <v>148</v>
      </c>
      <c r="C222" s="11" t="s">
        <v>9</v>
      </c>
      <c r="E222" s="37">
        <f>+E175</f>
        <v>-6.3000000000000007</v>
      </c>
      <c r="F222" s="37">
        <f t="shared" ref="F222:G222" si="155">+F175</f>
        <v>-25.200000000000003</v>
      </c>
      <c r="G222" s="37">
        <f t="shared" si="155"/>
        <v>-51.552445585292617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  <c r="U222" s="35">
        <v>0</v>
      </c>
      <c r="V222" s="35">
        <v>0</v>
      </c>
      <c r="W222" s="35">
        <v>0</v>
      </c>
      <c r="X222" s="35">
        <v>0</v>
      </c>
      <c r="Y222" s="35">
        <v>0</v>
      </c>
      <c r="Z222" s="35">
        <v>0</v>
      </c>
      <c r="AA222" s="35">
        <v>0</v>
      </c>
      <c r="AB222" s="35">
        <v>0</v>
      </c>
      <c r="AC222" s="35">
        <v>0</v>
      </c>
      <c r="AD222" s="35">
        <v>0</v>
      </c>
      <c r="AE222" s="35">
        <v>0</v>
      </c>
      <c r="AF222" s="35">
        <v>0</v>
      </c>
    </row>
    <row r="223" spans="1:32" x14ac:dyDescent="0.2">
      <c r="A223" t="s">
        <v>149</v>
      </c>
      <c r="C223" s="11" t="s">
        <v>9</v>
      </c>
      <c r="E223" s="37">
        <f>SUM(E222)</f>
        <v>-6.3000000000000007</v>
      </c>
      <c r="F223" s="37">
        <f t="shared" ref="F223:G223" si="156">SUM(F222)</f>
        <v>-25.200000000000003</v>
      </c>
      <c r="G223" s="37">
        <f t="shared" si="156"/>
        <v>-51.552445585292617</v>
      </c>
      <c r="H223" s="35">
        <f>SUM(H219:H222)</f>
        <v>12.717794134560524</v>
      </c>
      <c r="I223" s="35">
        <f t="shared" ref="I223:N223" si="157">SUM(I219:I222)</f>
        <v>50.826849815878376</v>
      </c>
      <c r="J223" s="35">
        <f t="shared" si="157"/>
        <v>13.135231125760676</v>
      </c>
      <c r="K223" s="35">
        <f t="shared" si="157"/>
        <v>11.350909372748649</v>
      </c>
      <c r="L223" s="35">
        <f t="shared" si="157"/>
        <v>11.685134319060564</v>
      </c>
      <c r="M223" s="35">
        <f t="shared" si="157"/>
        <v>10.441369292449355</v>
      </c>
      <c r="N223" s="35">
        <f t="shared" si="157"/>
        <v>8.2038754900597617</v>
      </c>
      <c r="O223" s="35">
        <f t="shared" ref="O223:AF223" si="158">SUM(O219:O222)</f>
        <v>17.273276822205858</v>
      </c>
      <c r="P223" s="35">
        <f t="shared" si="158"/>
        <v>9.9162202335636991</v>
      </c>
      <c r="Q223" s="35">
        <f t="shared" si="158"/>
        <v>10.281810979324396</v>
      </c>
      <c r="R223" s="35">
        <f t="shared" si="158"/>
        <v>10.653658919341762</v>
      </c>
      <c r="S223" s="35">
        <f t="shared" si="158"/>
        <v>11.031733116137044</v>
      </c>
      <c r="T223" s="35">
        <f t="shared" si="158"/>
        <v>9.4159896799177325</v>
      </c>
      <c r="U223" s="35">
        <f t="shared" si="158"/>
        <v>21.928722260754313</v>
      </c>
      <c r="V223" s="35">
        <f t="shared" si="158"/>
        <v>12.202802815745812</v>
      </c>
      <c r="W223" s="35">
        <f t="shared" si="158"/>
        <v>20.809375554469735</v>
      </c>
      <c r="X223" s="35">
        <f t="shared" si="158"/>
        <v>21.329609943331477</v>
      </c>
      <c r="Y223" s="35">
        <f t="shared" si="158"/>
        <v>21.86285019191476</v>
      </c>
      <c r="Z223" s="35">
        <f t="shared" si="158"/>
        <v>19.409421446712631</v>
      </c>
      <c r="AA223" s="35">
        <f t="shared" si="158"/>
        <v>35.181373353525743</v>
      </c>
      <c r="AB223" s="35">
        <f t="shared" si="158"/>
        <v>23.543898407452449</v>
      </c>
      <c r="AC223" s="35">
        <f t="shared" si="158"/>
        <v>24.132495867638767</v>
      </c>
      <c r="AD223" s="35">
        <f t="shared" si="158"/>
        <v>24.735808264329727</v>
      </c>
      <c r="AE223" s="35">
        <f t="shared" si="158"/>
        <v>25.354203470937964</v>
      </c>
      <c r="AF223" s="35">
        <f t="shared" si="158"/>
        <v>21.988058557711422</v>
      </c>
    </row>
    <row r="224" spans="1:32" x14ac:dyDescent="0.2">
      <c r="C224" s="11"/>
    </row>
    <row r="225" spans="1:22" x14ac:dyDescent="0.2">
      <c r="A225" t="s">
        <v>150</v>
      </c>
      <c r="C225" s="11" t="s">
        <v>16</v>
      </c>
      <c r="E225" s="74">
        <f>+IRR(E223:AF223)</f>
        <v>0.19655620659099493</v>
      </c>
    </row>
    <row r="226" spans="1:22" x14ac:dyDescent="0.2">
      <c r="A226" t="s">
        <v>151</v>
      </c>
      <c r="C226" s="11"/>
      <c r="E226" s="61">
        <f>+NPV(0.1,E223:AF223)</f>
        <v>53.455059865080038</v>
      </c>
    </row>
    <row r="227" spans="1:22" x14ac:dyDescent="0.2">
      <c r="C227" s="11"/>
    </row>
    <row r="228" spans="1:22" x14ac:dyDescent="0.2">
      <c r="A228" s="27" t="s">
        <v>152</v>
      </c>
      <c r="C228" s="11"/>
    </row>
    <row r="229" spans="1:22" x14ac:dyDescent="0.2">
      <c r="A229" t="s">
        <v>74</v>
      </c>
      <c r="C229" s="11" t="s">
        <v>9</v>
      </c>
      <c r="H229" s="40">
        <f>+H92</f>
        <v>18.187540607200667</v>
      </c>
      <c r="I229" s="40">
        <f t="shared" ref="I229:N229" si="159">+I92</f>
        <v>18.64222912238068</v>
      </c>
      <c r="J229" s="40">
        <f t="shared" si="159"/>
        <v>19.108284850440199</v>
      </c>
      <c r="K229" s="40">
        <f t="shared" si="159"/>
        <v>19.585991971701205</v>
      </c>
      <c r="L229" s="40">
        <f t="shared" si="159"/>
        <v>20.075641770993734</v>
      </c>
      <c r="M229" s="40">
        <f t="shared" si="159"/>
        <v>20.577532815268576</v>
      </c>
      <c r="N229" s="40">
        <f t="shared" si="159"/>
        <v>21.091971135650294</v>
      </c>
      <c r="O229" s="40">
        <f t="shared" ref="O229:V229" si="160">+O92</f>
        <v>21.619270414041544</v>
      </c>
      <c r="P229" s="40">
        <f t="shared" si="160"/>
        <v>22.15975217439258</v>
      </c>
      <c r="Q229" s="40">
        <f t="shared" si="160"/>
        <v>22.713745978752399</v>
      </c>
      <c r="R229" s="40">
        <f t="shared" si="160"/>
        <v>23.281589628221202</v>
      </c>
      <c r="S229" s="40">
        <f t="shared" si="160"/>
        <v>23.86362936892673</v>
      </c>
      <c r="T229" s="40">
        <f t="shared" si="160"/>
        <v>24.460220103149901</v>
      </c>
      <c r="U229" s="40">
        <f t="shared" si="160"/>
        <v>25.071725605728648</v>
      </c>
      <c r="V229" s="40">
        <f t="shared" si="160"/>
        <v>25.698518745871858</v>
      </c>
    </row>
    <row r="230" spans="1:22" x14ac:dyDescent="0.2">
      <c r="A230" t="s">
        <v>153</v>
      </c>
      <c r="C230" s="11" t="s">
        <v>9</v>
      </c>
      <c r="H230" s="37">
        <f>+H214</f>
        <v>2.7344326761399937</v>
      </c>
      <c r="I230" s="37">
        <f>-I214</f>
        <v>40.388799842277834</v>
      </c>
      <c r="J230" s="37">
        <f t="shared" ref="J230:N230" si="161">+J214</f>
        <v>2.2311254241006142</v>
      </c>
      <c r="K230" s="37">
        <f t="shared" si="161"/>
        <v>-3.0903450172416864E-2</v>
      </c>
      <c r="L230" s="37">
        <f t="shared" si="161"/>
        <v>-0.18632830315303051</v>
      </c>
      <c r="M230" s="37">
        <f t="shared" si="161"/>
        <v>-1.9319843740390807</v>
      </c>
      <c r="N230" s="37">
        <f t="shared" si="161"/>
        <v>-4.6839164968103937</v>
      </c>
      <c r="O230" s="37">
        <f t="shared" ref="O230:V230" si="162">+O214</f>
        <v>-3.8581855569444534</v>
      </c>
      <c r="P230" s="37">
        <f t="shared" si="162"/>
        <v>-4.0393527920487422</v>
      </c>
      <c r="Q230" s="37">
        <f t="shared" si="162"/>
        <v>-4.2277558506478625</v>
      </c>
      <c r="R230" s="37">
        <f t="shared" si="162"/>
        <v>-4.4237515600993014</v>
      </c>
      <c r="S230" s="37">
        <f t="shared" si="162"/>
        <v>-4.6277171040095464</v>
      </c>
      <c r="T230" s="37">
        <f t="shared" si="162"/>
        <v>-6.8400512744520316</v>
      </c>
      <c r="U230" s="37">
        <f t="shared" si="162"/>
        <v>-5.0611758038058046</v>
      </c>
      <c r="V230" s="37">
        <f t="shared" si="162"/>
        <v>-5.2915367813459078</v>
      </c>
    </row>
    <row r="231" spans="1:22" x14ac:dyDescent="0.2">
      <c r="A231" t="s">
        <v>154</v>
      </c>
      <c r="C231" s="11" t="s">
        <v>9</v>
      </c>
      <c r="H231" s="40">
        <f>SUM(H229:H230)</f>
        <v>20.921973283340662</v>
      </c>
      <c r="I231" s="40">
        <f t="shared" ref="I231:N231" si="163">SUM(I229:I230)</f>
        <v>59.031028964658518</v>
      </c>
      <c r="J231" s="40">
        <f t="shared" si="163"/>
        <v>21.339410274540814</v>
      </c>
      <c r="K231" s="40">
        <f t="shared" si="163"/>
        <v>19.555088521528788</v>
      </c>
      <c r="L231" s="40">
        <f t="shared" si="163"/>
        <v>19.889313467840704</v>
      </c>
      <c r="M231" s="40">
        <f t="shared" si="163"/>
        <v>18.645548441229494</v>
      </c>
      <c r="N231" s="40">
        <f t="shared" si="163"/>
        <v>16.4080546388399</v>
      </c>
      <c r="O231" s="40">
        <f t="shared" ref="O231:V231" si="164">SUM(O229:O230)</f>
        <v>17.761084857097092</v>
      </c>
      <c r="P231" s="40">
        <f t="shared" si="164"/>
        <v>18.120399382343837</v>
      </c>
      <c r="Q231" s="40">
        <f t="shared" si="164"/>
        <v>18.485990128104536</v>
      </c>
      <c r="R231" s="40">
        <f t="shared" si="164"/>
        <v>18.8578380681219</v>
      </c>
      <c r="S231" s="40">
        <f t="shared" si="164"/>
        <v>19.235912264917182</v>
      </c>
      <c r="T231" s="40">
        <f t="shared" si="164"/>
        <v>17.620168828697871</v>
      </c>
      <c r="U231" s="40">
        <f t="shared" si="164"/>
        <v>20.010549801922842</v>
      </c>
      <c r="V231" s="40">
        <f t="shared" si="164"/>
        <v>20.406981964525951</v>
      </c>
    </row>
    <row r="232" spans="1:22" x14ac:dyDescent="0.2">
      <c r="A232" t="s">
        <v>155</v>
      </c>
      <c r="C232" s="11" t="s">
        <v>9</v>
      </c>
      <c r="H232" s="51">
        <f>-H157</f>
        <v>8.2041791487801383</v>
      </c>
      <c r="I232" s="51">
        <f t="shared" ref="I232:N232" si="165">-I157</f>
        <v>8.2041791487801383</v>
      </c>
      <c r="J232" s="51">
        <f t="shared" si="165"/>
        <v>8.2041791487801383</v>
      </c>
      <c r="K232" s="51">
        <f t="shared" si="165"/>
        <v>8.2041791487801383</v>
      </c>
      <c r="L232" s="51">
        <f t="shared" si="165"/>
        <v>8.2041791487801383</v>
      </c>
      <c r="M232" s="51">
        <f t="shared" si="165"/>
        <v>8.2041791487801383</v>
      </c>
      <c r="N232" s="51">
        <f t="shared" si="165"/>
        <v>8.2041791487801383</v>
      </c>
      <c r="O232" s="51">
        <f t="shared" ref="O232:V232" si="166">-O157</f>
        <v>8.2041791487801383</v>
      </c>
      <c r="P232" s="51">
        <f t="shared" si="166"/>
        <v>8.2041791487801383</v>
      </c>
      <c r="Q232" s="51">
        <f t="shared" si="166"/>
        <v>8.2041791487801383</v>
      </c>
      <c r="R232" s="51">
        <f t="shared" si="166"/>
        <v>8.2041791487801383</v>
      </c>
      <c r="S232" s="51">
        <f t="shared" si="166"/>
        <v>8.2041791487801383</v>
      </c>
      <c r="T232" s="51">
        <f t="shared" si="166"/>
        <v>8.2041791487801383</v>
      </c>
      <c r="U232" s="51">
        <f t="shared" si="166"/>
        <v>8.2041791487801383</v>
      </c>
      <c r="V232" s="51">
        <f t="shared" si="166"/>
        <v>8.2041791487801383</v>
      </c>
    </row>
    <row r="233" spans="1:22" x14ac:dyDescent="0.2">
      <c r="C233" s="11"/>
    </row>
    <row r="234" spans="1:22" x14ac:dyDescent="0.2">
      <c r="A234" t="s">
        <v>152</v>
      </c>
      <c r="C234" s="11" t="s">
        <v>118</v>
      </c>
      <c r="H234" s="54">
        <f>+H231/H232</f>
        <v>2.5501604613852815</v>
      </c>
      <c r="I234" s="54">
        <f t="shared" ref="I234:N234" si="167">+I231/I232</f>
        <v>7.1952389013147906</v>
      </c>
      <c r="J234" s="54">
        <f t="shared" si="167"/>
        <v>2.6010414799040222</v>
      </c>
      <c r="K234" s="54">
        <f t="shared" si="167"/>
        <v>2.3835521100775074</v>
      </c>
      <c r="L234" s="54">
        <f t="shared" si="167"/>
        <v>2.4242904874643068</v>
      </c>
      <c r="M234" s="54">
        <f t="shared" si="167"/>
        <v>2.2726890896820384</v>
      </c>
      <c r="N234" s="54">
        <f t="shared" si="167"/>
        <v>1.9999629873123357</v>
      </c>
      <c r="O234" s="54">
        <f t="shared" ref="O234:V234" si="168">+O231/O232</f>
        <v>2.1648826207967375</v>
      </c>
      <c r="P234" s="54">
        <f t="shared" si="168"/>
        <v>2.2086791443404938</v>
      </c>
      <c r="Q234" s="54">
        <f t="shared" si="168"/>
        <v>2.2532406707443946</v>
      </c>
      <c r="R234" s="54">
        <f t="shared" si="168"/>
        <v>2.2985648809150923</v>
      </c>
      <c r="S234" s="54">
        <f t="shared" si="168"/>
        <v>2.344648003911193</v>
      </c>
      <c r="T234" s="54">
        <f t="shared" si="168"/>
        <v>2.1477064931374366</v>
      </c>
      <c r="U234" s="54">
        <f t="shared" si="168"/>
        <v>2.4390678749254477</v>
      </c>
      <c r="V234" s="54">
        <f t="shared" si="168"/>
        <v>2.4873886338233144</v>
      </c>
    </row>
    <row r="236" spans="1:22" x14ac:dyDescent="0.2">
      <c r="B236" s="11" t="s">
        <v>119</v>
      </c>
      <c r="C236" s="11" t="s">
        <v>120</v>
      </c>
    </row>
    <row r="237" spans="1:22" x14ac:dyDescent="0.2">
      <c r="B237" s="55">
        <f>+MIN(H234:V234)</f>
        <v>1.9999629873123357</v>
      </c>
      <c r="C237" s="55">
        <f>+AVERAGE(H234:V234)</f>
        <v>2.6514075893156264</v>
      </c>
    </row>
    <row r="239" spans="1:22" x14ac:dyDescent="0.2">
      <c r="A239" s="27" t="s">
        <v>156</v>
      </c>
    </row>
    <row r="241" spans="1:32" x14ac:dyDescent="0.2">
      <c r="A241" t="s">
        <v>157</v>
      </c>
      <c r="C241" t="s">
        <v>158</v>
      </c>
      <c r="H241" s="62">
        <f t="shared" ref="H241:M241" si="169">+H87*$E$22/2000/1000000</f>
        <v>0</v>
      </c>
      <c r="I241" s="62">
        <f t="shared" si="169"/>
        <v>0</v>
      </c>
      <c r="J241" s="62">
        <f t="shared" si="169"/>
        <v>0</v>
      </c>
      <c r="K241" s="62">
        <f t="shared" si="169"/>
        <v>0</v>
      </c>
      <c r="L241" s="62">
        <f t="shared" si="169"/>
        <v>0</v>
      </c>
      <c r="M241" s="62">
        <f t="shared" si="169"/>
        <v>0</v>
      </c>
      <c r="N241" s="62">
        <f t="shared" ref="N241:AF241" si="170">+N87*$E$22/2000/1000000</f>
        <v>0</v>
      </c>
      <c r="O241" s="62">
        <f t="shared" si="170"/>
        <v>0</v>
      </c>
      <c r="P241" s="62">
        <f t="shared" si="170"/>
        <v>0</v>
      </c>
      <c r="Q241" s="62">
        <f t="shared" si="170"/>
        <v>0</v>
      </c>
      <c r="R241" s="62">
        <f t="shared" si="170"/>
        <v>0</v>
      </c>
      <c r="S241" s="62">
        <f t="shared" si="170"/>
        <v>0</v>
      </c>
      <c r="T241" s="62">
        <f t="shared" si="170"/>
        <v>0</v>
      </c>
      <c r="U241" s="62">
        <f t="shared" si="170"/>
        <v>0</v>
      </c>
      <c r="V241" s="62">
        <f t="shared" si="170"/>
        <v>0</v>
      </c>
      <c r="W241" s="62">
        <f t="shared" si="170"/>
        <v>0</v>
      </c>
      <c r="X241" s="62">
        <f t="shared" si="170"/>
        <v>0</v>
      </c>
      <c r="Y241" s="62">
        <f t="shared" si="170"/>
        <v>0</v>
      </c>
      <c r="Z241" s="62">
        <f t="shared" si="170"/>
        <v>0</v>
      </c>
      <c r="AA241" s="62">
        <f t="shared" si="170"/>
        <v>0</v>
      </c>
      <c r="AB241" s="62">
        <f t="shared" si="170"/>
        <v>0</v>
      </c>
      <c r="AC241" s="62">
        <f t="shared" si="170"/>
        <v>0</v>
      </c>
      <c r="AD241" s="62">
        <f t="shared" si="170"/>
        <v>0</v>
      </c>
      <c r="AE241" s="62">
        <f t="shared" si="170"/>
        <v>0</v>
      </c>
      <c r="AF241" s="62">
        <f t="shared" si="170"/>
        <v>0</v>
      </c>
    </row>
    <row r="242" spans="1:32" x14ac:dyDescent="0.2">
      <c r="A242" t="s">
        <v>159</v>
      </c>
      <c r="C242" t="s">
        <v>158</v>
      </c>
      <c r="E242" s="54">
        <f>+SUM(H241:AF241)</f>
        <v>0</v>
      </c>
    </row>
    <row r="243" spans="1:32" x14ac:dyDescent="0.2">
      <c r="A243" t="s">
        <v>160</v>
      </c>
      <c r="C243" t="s">
        <v>34</v>
      </c>
      <c r="H243" s="35">
        <f>+$E$23</f>
        <v>0</v>
      </c>
      <c r="I243" s="35">
        <f t="shared" ref="I243:AF243" si="171">+$E$23</f>
        <v>0</v>
      </c>
      <c r="J243" s="35">
        <f t="shared" si="171"/>
        <v>0</v>
      </c>
      <c r="K243" s="35">
        <f t="shared" si="171"/>
        <v>0</v>
      </c>
      <c r="L243" s="35">
        <f t="shared" si="171"/>
        <v>0</v>
      </c>
      <c r="M243" s="35">
        <f t="shared" si="171"/>
        <v>0</v>
      </c>
      <c r="N243" s="35">
        <f t="shared" si="171"/>
        <v>0</v>
      </c>
      <c r="O243" s="35">
        <f t="shared" si="171"/>
        <v>0</v>
      </c>
      <c r="P243" s="35">
        <f t="shared" si="171"/>
        <v>0</v>
      </c>
      <c r="Q243" s="35">
        <f t="shared" si="171"/>
        <v>0</v>
      </c>
      <c r="R243" s="35">
        <f t="shared" si="171"/>
        <v>0</v>
      </c>
      <c r="S243" s="35">
        <f t="shared" si="171"/>
        <v>0</v>
      </c>
      <c r="T243" s="35">
        <f t="shared" si="171"/>
        <v>0</v>
      </c>
      <c r="U243" s="35">
        <f t="shared" si="171"/>
        <v>0</v>
      </c>
      <c r="V243" s="35">
        <f t="shared" si="171"/>
        <v>0</v>
      </c>
      <c r="W243" s="35">
        <f t="shared" si="171"/>
        <v>0</v>
      </c>
      <c r="X243" s="35">
        <f t="shared" si="171"/>
        <v>0</v>
      </c>
      <c r="Y243" s="35">
        <f t="shared" si="171"/>
        <v>0</v>
      </c>
      <c r="Z243" s="35">
        <f t="shared" si="171"/>
        <v>0</v>
      </c>
      <c r="AA243" s="35">
        <f t="shared" si="171"/>
        <v>0</v>
      </c>
      <c r="AB243" s="35">
        <f t="shared" si="171"/>
        <v>0</v>
      </c>
      <c r="AC243" s="35">
        <f t="shared" si="171"/>
        <v>0</v>
      </c>
      <c r="AD243" s="35">
        <f t="shared" si="171"/>
        <v>0</v>
      </c>
      <c r="AE243" s="35">
        <f t="shared" si="171"/>
        <v>0</v>
      </c>
      <c r="AF243" s="35">
        <f t="shared" si="171"/>
        <v>0</v>
      </c>
    </row>
    <row r="244" spans="1:32" x14ac:dyDescent="0.2">
      <c r="A244" t="s">
        <v>161</v>
      </c>
      <c r="C244" t="s">
        <v>9</v>
      </c>
      <c r="H244" s="35">
        <f>+H241*H243</f>
        <v>0</v>
      </c>
      <c r="I244" s="35">
        <f t="shared" ref="I244:N244" si="172">+I241*I243</f>
        <v>0</v>
      </c>
      <c r="J244" s="35">
        <f t="shared" si="172"/>
        <v>0</v>
      </c>
      <c r="K244" s="35">
        <f t="shared" si="172"/>
        <v>0</v>
      </c>
      <c r="L244" s="35">
        <f t="shared" si="172"/>
        <v>0</v>
      </c>
      <c r="M244" s="35">
        <f t="shared" si="172"/>
        <v>0</v>
      </c>
      <c r="N244" s="35">
        <f t="shared" si="172"/>
        <v>0</v>
      </c>
      <c r="O244" s="35">
        <f t="shared" ref="O244:AF244" si="173">+O241*O243</f>
        <v>0</v>
      </c>
      <c r="P244" s="35">
        <f t="shared" si="173"/>
        <v>0</v>
      </c>
      <c r="Q244" s="35">
        <f t="shared" si="173"/>
        <v>0</v>
      </c>
      <c r="R244" s="35">
        <f t="shared" si="173"/>
        <v>0</v>
      </c>
      <c r="S244" s="35">
        <f t="shared" si="173"/>
        <v>0</v>
      </c>
      <c r="T244" s="35">
        <f t="shared" si="173"/>
        <v>0</v>
      </c>
      <c r="U244" s="35">
        <f t="shared" si="173"/>
        <v>0</v>
      </c>
      <c r="V244" s="35">
        <f t="shared" si="173"/>
        <v>0</v>
      </c>
      <c r="W244" s="35">
        <f t="shared" si="173"/>
        <v>0</v>
      </c>
      <c r="X244" s="35">
        <f t="shared" si="173"/>
        <v>0</v>
      </c>
      <c r="Y244" s="35">
        <f t="shared" si="173"/>
        <v>0</v>
      </c>
      <c r="Z244" s="35">
        <f t="shared" si="173"/>
        <v>0</v>
      </c>
      <c r="AA244" s="35">
        <f t="shared" si="173"/>
        <v>0</v>
      </c>
      <c r="AB244" s="35">
        <f t="shared" si="173"/>
        <v>0</v>
      </c>
      <c r="AC244" s="35">
        <f t="shared" si="173"/>
        <v>0</v>
      </c>
      <c r="AD244" s="35">
        <f t="shared" si="173"/>
        <v>0</v>
      </c>
      <c r="AE244" s="35">
        <f t="shared" si="173"/>
        <v>0</v>
      </c>
      <c r="AF244" s="35">
        <f t="shared" si="173"/>
        <v>0</v>
      </c>
    </row>
    <row r="245" spans="1:32" x14ac:dyDescent="0.2">
      <c r="A245" t="s">
        <v>162</v>
      </c>
      <c r="C245" t="s">
        <v>9</v>
      </c>
      <c r="E245" s="37">
        <f>+E223</f>
        <v>-6.3000000000000007</v>
      </c>
      <c r="F245" s="37">
        <f>+F223</f>
        <v>-25.200000000000003</v>
      </c>
      <c r="G245" s="37">
        <f>+G223</f>
        <v>-51.552445585292617</v>
      </c>
      <c r="H245" s="63">
        <f t="shared" ref="H245:M245" si="174">+H223-H244</f>
        <v>12.717794134560524</v>
      </c>
      <c r="I245" s="63">
        <f t="shared" si="174"/>
        <v>50.826849815878376</v>
      </c>
      <c r="J245" s="63">
        <f t="shared" si="174"/>
        <v>13.135231125760676</v>
      </c>
      <c r="K245" s="63">
        <f t="shared" si="174"/>
        <v>11.350909372748649</v>
      </c>
      <c r="L245" s="63">
        <f t="shared" si="174"/>
        <v>11.685134319060564</v>
      </c>
      <c r="M245" s="63">
        <f t="shared" si="174"/>
        <v>10.441369292449355</v>
      </c>
      <c r="N245" s="63">
        <f t="shared" ref="N245:AF245" si="175">+N223-N244</f>
        <v>8.2038754900597617</v>
      </c>
      <c r="O245" s="63">
        <f t="shared" si="175"/>
        <v>17.273276822205858</v>
      </c>
      <c r="P245" s="63">
        <f t="shared" si="175"/>
        <v>9.9162202335636991</v>
      </c>
      <c r="Q245" s="63">
        <f t="shared" si="175"/>
        <v>10.281810979324396</v>
      </c>
      <c r="R245" s="63">
        <f t="shared" si="175"/>
        <v>10.653658919341762</v>
      </c>
      <c r="S245" s="63">
        <f t="shared" si="175"/>
        <v>11.031733116137044</v>
      </c>
      <c r="T245" s="63">
        <f t="shared" si="175"/>
        <v>9.4159896799177325</v>
      </c>
      <c r="U245" s="63">
        <f t="shared" si="175"/>
        <v>21.928722260754313</v>
      </c>
      <c r="V245" s="63">
        <f t="shared" si="175"/>
        <v>12.202802815745812</v>
      </c>
      <c r="W245" s="63">
        <f t="shared" si="175"/>
        <v>20.809375554469735</v>
      </c>
      <c r="X245" s="63">
        <f t="shared" si="175"/>
        <v>21.329609943331477</v>
      </c>
      <c r="Y245" s="63">
        <f t="shared" si="175"/>
        <v>21.86285019191476</v>
      </c>
      <c r="Z245" s="63">
        <f t="shared" si="175"/>
        <v>19.409421446712631</v>
      </c>
      <c r="AA245" s="63">
        <f t="shared" si="175"/>
        <v>35.181373353525743</v>
      </c>
      <c r="AB245" s="63">
        <f t="shared" si="175"/>
        <v>23.543898407452449</v>
      </c>
      <c r="AC245" s="63">
        <f t="shared" si="175"/>
        <v>24.132495867638767</v>
      </c>
      <c r="AD245" s="63">
        <f t="shared" si="175"/>
        <v>24.735808264329727</v>
      </c>
      <c r="AE245" s="63">
        <f t="shared" si="175"/>
        <v>25.354203470937964</v>
      </c>
      <c r="AF245" s="63">
        <f t="shared" si="175"/>
        <v>21.988058557711422</v>
      </c>
    </row>
    <row r="247" spans="1:32" x14ac:dyDescent="0.2">
      <c r="A247" t="s">
        <v>163</v>
      </c>
      <c r="C247" t="s">
        <v>16</v>
      </c>
      <c r="E247" s="73">
        <f>+IRR(E245:AF245)</f>
        <v>0.19655620659099493</v>
      </c>
    </row>
    <row r="248" spans="1:32" x14ac:dyDescent="0.2">
      <c r="A248" t="s">
        <v>164</v>
      </c>
      <c r="C248" t="s">
        <v>9</v>
      </c>
      <c r="E248" s="51">
        <f>+NPV(0.1,E245:AF245)</f>
        <v>53.455059865080038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FC76F-194C-4AB2-873F-1E89742B5845}">
  <dimension ref="A1:N42"/>
  <sheetViews>
    <sheetView tabSelected="1" workbookViewId="0">
      <selection activeCell="L25" sqref="L25"/>
    </sheetView>
  </sheetViews>
  <sheetFormatPr baseColWidth="10" defaultColWidth="8.83203125" defaultRowHeight="15" x14ac:dyDescent="0.2"/>
  <cols>
    <col min="1" max="1" width="10.33203125" style="4" customWidth="1"/>
    <col min="2" max="2" width="11.83203125" style="4" customWidth="1"/>
    <col min="3" max="3" width="12.1640625" style="4" customWidth="1"/>
    <col min="4" max="4" width="11.1640625" style="6" customWidth="1"/>
    <col min="5" max="5" width="11.1640625" style="4" customWidth="1"/>
    <col min="6" max="6" width="10.33203125" style="6" customWidth="1"/>
    <col min="7" max="7" width="10.33203125" style="4" customWidth="1"/>
    <col min="8" max="8" width="10.33203125" style="6" customWidth="1"/>
    <col min="9" max="9" width="10.33203125" style="4" customWidth="1"/>
    <col min="10" max="10" width="11.33203125" style="6" customWidth="1"/>
    <col min="11" max="12" width="11.33203125" style="4" customWidth="1"/>
    <col min="13" max="16" width="8.83203125" style="4"/>
    <col min="17" max="17" width="11.5" style="4" bestFit="1" customWidth="1"/>
    <col min="18" max="16384" width="8.83203125" style="4"/>
  </cols>
  <sheetData>
    <row r="1" spans="1:14" x14ac:dyDescent="0.2">
      <c r="A1" s="3" t="s">
        <v>211</v>
      </c>
      <c r="B1" s="4" t="s">
        <v>212</v>
      </c>
      <c r="C1" s="4" t="s">
        <v>213</v>
      </c>
      <c r="D1" s="6" t="s">
        <v>214</v>
      </c>
      <c r="E1" s="4" t="s">
        <v>215</v>
      </c>
      <c r="F1" s="6" t="s">
        <v>216</v>
      </c>
      <c r="G1" s="4" t="s">
        <v>217</v>
      </c>
      <c r="H1" s="6" t="s">
        <v>218</v>
      </c>
      <c r="I1" s="4" t="s">
        <v>219</v>
      </c>
      <c r="J1" s="6" t="s">
        <v>220</v>
      </c>
      <c r="K1" s="6" t="s">
        <v>221</v>
      </c>
      <c r="L1" s="65" t="s">
        <v>222</v>
      </c>
    </row>
    <row r="2" spans="1:14" x14ac:dyDescent="0.2">
      <c r="A2" s="3" t="s">
        <v>168</v>
      </c>
      <c r="K2" s="6"/>
      <c r="L2" s="65" t="s">
        <v>169</v>
      </c>
      <c r="M2" s="3"/>
    </row>
    <row r="3" spans="1:14" x14ac:dyDescent="0.2">
      <c r="A3" s="3"/>
      <c r="B3" s="3"/>
      <c r="C3" s="3"/>
      <c r="D3" s="65"/>
      <c r="E3" s="3"/>
      <c r="F3" s="65"/>
      <c r="G3" s="3"/>
      <c r="H3" s="65"/>
      <c r="I3" s="3"/>
      <c r="J3" s="65" t="s">
        <v>170</v>
      </c>
      <c r="K3" s="65"/>
      <c r="L3" s="65" t="s">
        <v>170</v>
      </c>
      <c r="M3" s="3"/>
    </row>
    <row r="4" spans="1:14" x14ac:dyDescent="0.2">
      <c r="A4" s="3" t="s">
        <v>0</v>
      </c>
      <c r="B4" s="3"/>
      <c r="C4" s="3"/>
      <c r="D4" s="65" t="s">
        <v>171</v>
      </c>
      <c r="E4" s="3"/>
      <c r="F4" s="65" t="s">
        <v>172</v>
      </c>
      <c r="G4" s="3"/>
      <c r="H4" s="65" t="s">
        <v>173</v>
      </c>
      <c r="I4" s="3"/>
      <c r="J4" s="65" t="s">
        <v>174</v>
      </c>
      <c r="K4" s="65"/>
      <c r="L4" s="65" t="s">
        <v>175</v>
      </c>
      <c r="M4" s="3"/>
    </row>
    <row r="5" spans="1:14" x14ac:dyDescent="0.2">
      <c r="A5" s="3"/>
      <c r="B5" s="3"/>
      <c r="C5" s="3"/>
      <c r="D5" s="65"/>
      <c r="E5" s="3"/>
      <c r="F5" s="65"/>
      <c r="G5" s="3"/>
      <c r="H5" s="65"/>
      <c r="I5" s="3"/>
      <c r="J5" s="65"/>
      <c r="K5" s="65"/>
      <c r="L5" s="65"/>
    </row>
    <row r="6" spans="1:14" x14ac:dyDescent="0.2">
      <c r="A6" s="4" t="s">
        <v>176</v>
      </c>
      <c r="D6" s="6" t="s">
        <v>177</v>
      </c>
      <c r="F6" s="6" t="s">
        <v>177</v>
      </c>
      <c r="H6" s="6" t="s">
        <v>177</v>
      </c>
      <c r="J6" s="6" t="s">
        <v>177</v>
      </c>
      <c r="K6" s="6"/>
      <c r="L6" s="6" t="s">
        <v>177</v>
      </c>
    </row>
    <row r="7" spans="1:14" x14ac:dyDescent="0.2">
      <c r="A7" s="4" t="s">
        <v>1</v>
      </c>
      <c r="D7" s="6" t="s">
        <v>21</v>
      </c>
      <c r="F7" s="6">
        <v>80</v>
      </c>
      <c r="H7" s="6">
        <v>80</v>
      </c>
      <c r="J7" s="6">
        <v>100</v>
      </c>
      <c r="K7" s="6"/>
      <c r="L7" s="6">
        <v>700</v>
      </c>
    </row>
    <row r="8" spans="1:14" x14ac:dyDescent="0.2">
      <c r="A8" s="4" t="s">
        <v>178</v>
      </c>
      <c r="F8" s="6" t="s">
        <v>179</v>
      </c>
      <c r="H8" s="6" t="s">
        <v>180</v>
      </c>
      <c r="J8" s="6" t="s">
        <v>180</v>
      </c>
      <c r="K8" s="6"/>
      <c r="L8" s="6" t="s">
        <v>180</v>
      </c>
    </row>
    <row r="9" spans="1:14" x14ac:dyDescent="0.2">
      <c r="A9" s="4" t="s">
        <v>181</v>
      </c>
      <c r="D9" s="6" t="s">
        <v>67</v>
      </c>
      <c r="F9" s="6">
        <v>1000</v>
      </c>
      <c r="G9" s="4" t="s">
        <v>21</v>
      </c>
      <c r="H9" s="6">
        <v>1500</v>
      </c>
      <c r="J9" s="6">
        <v>1000</v>
      </c>
      <c r="K9" s="6"/>
      <c r="L9" s="6">
        <v>1000</v>
      </c>
    </row>
    <row r="10" spans="1:14" x14ac:dyDescent="0.2">
      <c r="A10" s="4" t="s">
        <v>182</v>
      </c>
      <c r="D10" s="6" t="s">
        <v>5</v>
      </c>
      <c r="F10" s="6">
        <v>0</v>
      </c>
      <c r="H10" s="6">
        <v>0</v>
      </c>
      <c r="J10" s="6">
        <v>9600</v>
      </c>
      <c r="K10" s="6"/>
      <c r="L10" s="6">
        <v>6400</v>
      </c>
      <c r="N10" s="4" t="s">
        <v>21</v>
      </c>
    </row>
    <row r="11" spans="1:14" x14ac:dyDescent="0.2">
      <c r="A11" s="4" t="s">
        <v>66</v>
      </c>
      <c r="D11" s="6" t="s">
        <v>6</v>
      </c>
      <c r="F11" s="6">
        <v>13</v>
      </c>
      <c r="H11" s="6">
        <v>42</v>
      </c>
      <c r="J11" s="6">
        <v>12</v>
      </c>
      <c r="K11" s="6"/>
      <c r="L11" s="6">
        <v>11</v>
      </c>
    </row>
    <row r="12" spans="1:14" x14ac:dyDescent="0.2">
      <c r="A12" s="4" t="s">
        <v>68</v>
      </c>
      <c r="D12" s="6" t="s">
        <v>7</v>
      </c>
      <c r="F12" s="6">
        <v>0</v>
      </c>
      <c r="H12" s="6">
        <v>0</v>
      </c>
      <c r="J12" s="6">
        <v>7</v>
      </c>
      <c r="K12" s="6"/>
      <c r="L12" s="6">
        <v>3</v>
      </c>
    </row>
    <row r="13" spans="1:14" x14ac:dyDescent="0.2">
      <c r="A13" s="4" t="s">
        <v>183</v>
      </c>
      <c r="D13" s="6" t="s">
        <v>18</v>
      </c>
      <c r="F13" s="6">
        <v>3</v>
      </c>
      <c r="H13" s="6">
        <v>3</v>
      </c>
      <c r="J13" s="6">
        <v>3</v>
      </c>
      <c r="K13" s="6"/>
      <c r="L13" s="6">
        <v>3</v>
      </c>
    </row>
    <row r="14" spans="1:14" x14ac:dyDescent="0.2">
      <c r="A14" s="4" t="s">
        <v>223</v>
      </c>
      <c r="B14" s="4" t="s">
        <v>184</v>
      </c>
      <c r="D14" s="6" t="s">
        <v>16</v>
      </c>
      <c r="F14" s="66">
        <v>0.1</v>
      </c>
      <c r="H14" s="8">
        <v>0.1</v>
      </c>
      <c r="J14" s="8">
        <v>0.2</v>
      </c>
      <c r="K14" s="8"/>
      <c r="L14" s="8">
        <v>0.2</v>
      </c>
    </row>
    <row r="15" spans="1:14" x14ac:dyDescent="0.2">
      <c r="A15" s="4" t="s">
        <v>224</v>
      </c>
      <c r="B15" s="4" t="s">
        <v>185</v>
      </c>
      <c r="D15" s="6" t="s">
        <v>16</v>
      </c>
      <c r="F15" s="66">
        <v>0.2</v>
      </c>
      <c r="H15" s="8">
        <v>0.4</v>
      </c>
      <c r="J15" s="8">
        <v>0.6</v>
      </c>
      <c r="K15" s="8"/>
      <c r="L15" s="8">
        <v>0.7</v>
      </c>
    </row>
    <row r="16" spans="1:14" x14ac:dyDescent="0.2">
      <c r="A16" s="4" t="s">
        <v>225</v>
      </c>
      <c r="B16" s="4" t="s">
        <v>186</v>
      </c>
      <c r="D16" s="6" t="s">
        <v>16</v>
      </c>
      <c r="F16" s="8">
        <v>0.7</v>
      </c>
      <c r="H16" s="8">
        <v>0.5</v>
      </c>
      <c r="J16" s="8">
        <v>0.2</v>
      </c>
      <c r="K16" s="6"/>
      <c r="L16" s="8">
        <v>0.1</v>
      </c>
    </row>
    <row r="17" spans="1:13" x14ac:dyDescent="0.2">
      <c r="A17" s="4" t="s">
        <v>187</v>
      </c>
      <c r="D17" s="6" t="s">
        <v>16</v>
      </c>
      <c r="F17" s="66">
        <v>0.24</v>
      </c>
      <c r="H17" s="8">
        <v>0.4</v>
      </c>
      <c r="J17" s="8">
        <v>0.2</v>
      </c>
      <c r="K17" s="8"/>
      <c r="L17" s="8">
        <v>0.9</v>
      </c>
    </row>
    <row r="18" spans="1:13" x14ac:dyDescent="0.2">
      <c r="A18" s="4" t="s">
        <v>188</v>
      </c>
      <c r="D18" s="6" t="s">
        <v>52</v>
      </c>
      <c r="F18" s="6">
        <v>0</v>
      </c>
      <c r="H18" s="6">
        <v>0</v>
      </c>
      <c r="J18" s="6">
        <v>4.5</v>
      </c>
      <c r="K18" s="6"/>
      <c r="L18" s="6">
        <v>4.5</v>
      </c>
    </row>
    <row r="19" spans="1:13" x14ac:dyDescent="0.2">
      <c r="A19" s="4" t="s">
        <v>17</v>
      </c>
      <c r="D19" s="6" t="s">
        <v>18</v>
      </c>
      <c r="F19" s="6">
        <v>25</v>
      </c>
      <c r="G19" s="4" t="s">
        <v>21</v>
      </c>
      <c r="H19" s="6">
        <v>25</v>
      </c>
      <c r="J19" s="6">
        <v>25</v>
      </c>
      <c r="K19" s="6"/>
      <c r="L19" s="6">
        <v>25</v>
      </c>
    </row>
    <row r="20" spans="1:13" x14ac:dyDescent="0.2">
      <c r="A20" s="4" t="s">
        <v>22</v>
      </c>
      <c r="D20" s="6" t="s">
        <v>189</v>
      </c>
      <c r="F20" s="6">
        <v>5</v>
      </c>
      <c r="H20" s="6">
        <v>5</v>
      </c>
      <c r="J20" s="6">
        <v>15</v>
      </c>
      <c r="K20" s="6"/>
      <c r="L20" s="6">
        <v>15</v>
      </c>
      <c r="M20" s="6"/>
    </row>
    <row r="21" spans="1:13" x14ac:dyDescent="0.2">
      <c r="A21" s="4" t="s">
        <v>190</v>
      </c>
      <c r="D21" s="6" t="s">
        <v>16</v>
      </c>
      <c r="F21" s="67">
        <v>2.5000000000000001E-2</v>
      </c>
      <c r="G21" s="10" t="s">
        <v>21</v>
      </c>
      <c r="H21" s="10">
        <v>2.5000000000000001E-2</v>
      </c>
      <c r="I21" s="10" t="s">
        <v>21</v>
      </c>
      <c r="J21" s="10">
        <v>2.5000000000000001E-2</v>
      </c>
      <c r="K21" s="10"/>
      <c r="L21" s="10">
        <v>2.5000000000000001E-2</v>
      </c>
      <c r="M21" s="6"/>
    </row>
    <row r="22" spans="1:13" x14ac:dyDescent="0.2">
      <c r="A22" s="4" t="s">
        <v>191</v>
      </c>
      <c r="D22" s="6" t="s">
        <v>16</v>
      </c>
      <c r="F22" s="67">
        <v>2.5000000000000001E-2</v>
      </c>
      <c r="G22" s="10"/>
      <c r="H22" s="10">
        <v>2.5000000000000001E-2</v>
      </c>
      <c r="I22" s="10"/>
      <c r="J22" s="10">
        <v>2.5000000000000001E-2</v>
      </c>
      <c r="K22" s="10"/>
      <c r="L22" s="10">
        <v>2.5000000000000001E-2</v>
      </c>
      <c r="M22" s="6"/>
    </row>
    <row r="23" spans="1:13" x14ac:dyDescent="0.2">
      <c r="A23" s="4" t="s">
        <v>192</v>
      </c>
      <c r="D23" s="6" t="s">
        <v>16</v>
      </c>
      <c r="F23" s="67">
        <v>0.3</v>
      </c>
      <c r="G23" s="10"/>
      <c r="H23" s="10">
        <v>0.3</v>
      </c>
      <c r="I23" s="10"/>
      <c r="J23" s="10">
        <v>0</v>
      </c>
      <c r="K23" s="10"/>
      <c r="L23" s="10">
        <v>0</v>
      </c>
    </row>
    <row r="24" spans="1:13" x14ac:dyDescent="0.2">
      <c r="A24" s="4" t="s">
        <v>19</v>
      </c>
      <c r="D24" s="6" t="s">
        <v>20</v>
      </c>
      <c r="F24" s="67">
        <v>0.21</v>
      </c>
      <c r="G24" s="10" t="s">
        <v>21</v>
      </c>
      <c r="H24" s="10">
        <v>0.21</v>
      </c>
      <c r="I24" s="10" t="s">
        <v>21</v>
      </c>
      <c r="J24" s="10">
        <v>0.21</v>
      </c>
      <c r="K24" s="10"/>
      <c r="L24" s="10">
        <v>0.21</v>
      </c>
    </row>
    <row r="25" spans="1:13" x14ac:dyDescent="0.2">
      <c r="A25" s="4" t="s">
        <v>41</v>
      </c>
      <c r="D25" s="6" t="s">
        <v>10</v>
      </c>
      <c r="F25" s="68">
        <v>3</v>
      </c>
      <c r="G25" s="69"/>
      <c r="H25" s="69">
        <v>3</v>
      </c>
      <c r="I25" s="69"/>
      <c r="J25" s="69">
        <v>3</v>
      </c>
      <c r="K25" s="69"/>
      <c r="L25" s="69">
        <v>3</v>
      </c>
    </row>
    <row r="26" spans="1:13" x14ac:dyDescent="0.2">
      <c r="A26" s="4" t="s">
        <v>42</v>
      </c>
      <c r="D26" s="6" t="s">
        <v>16</v>
      </c>
      <c r="F26" s="67">
        <v>0.05</v>
      </c>
      <c r="G26" s="10"/>
      <c r="H26" s="10">
        <v>0.05</v>
      </c>
      <c r="I26" s="10"/>
      <c r="J26" s="10">
        <v>0.05</v>
      </c>
      <c r="K26" s="10"/>
      <c r="L26" s="10">
        <v>0.05</v>
      </c>
    </row>
    <row r="27" spans="1:13" x14ac:dyDescent="0.2">
      <c r="A27" s="4" t="s">
        <v>43</v>
      </c>
      <c r="D27" s="6" t="s">
        <v>16</v>
      </c>
      <c r="F27" s="67">
        <v>0.5</v>
      </c>
      <c r="G27" s="10"/>
      <c r="H27" s="10">
        <v>0.5</v>
      </c>
      <c r="I27" s="10"/>
      <c r="J27" s="10">
        <v>0.5</v>
      </c>
      <c r="K27" s="10"/>
      <c r="L27" s="10">
        <v>0.5</v>
      </c>
    </row>
    <row r="28" spans="1:13" x14ac:dyDescent="0.2">
      <c r="A28" s="4" t="s">
        <v>44</v>
      </c>
      <c r="D28" s="6" t="s">
        <v>10</v>
      </c>
      <c r="F28" s="68">
        <v>15</v>
      </c>
      <c r="G28" s="10"/>
      <c r="H28" s="69">
        <v>15</v>
      </c>
      <c r="I28" s="69" t="s">
        <v>21</v>
      </c>
      <c r="J28" s="69">
        <v>15</v>
      </c>
      <c r="K28" s="69"/>
      <c r="L28" s="69">
        <v>15</v>
      </c>
    </row>
    <row r="29" spans="1:13" x14ac:dyDescent="0.2">
      <c r="A29" s="4" t="s">
        <v>45</v>
      </c>
      <c r="D29" s="6" t="s">
        <v>16</v>
      </c>
      <c r="F29" s="67">
        <v>6.5000000000000002E-2</v>
      </c>
      <c r="G29" s="10"/>
      <c r="H29" s="10">
        <v>6.5000000000000002E-2</v>
      </c>
      <c r="I29" s="10"/>
      <c r="J29" s="10">
        <v>6.5000000000000002E-2</v>
      </c>
      <c r="K29" s="10"/>
      <c r="L29" s="10">
        <v>6.5000000000000002E-2</v>
      </c>
    </row>
    <row r="30" spans="1:13" x14ac:dyDescent="0.2">
      <c r="A30" s="4" t="s">
        <v>46</v>
      </c>
      <c r="D30" s="6" t="s">
        <v>16</v>
      </c>
      <c r="F30" s="67">
        <v>0.5</v>
      </c>
      <c r="G30" s="10"/>
      <c r="H30" s="10">
        <v>0.5</v>
      </c>
      <c r="I30" s="10"/>
      <c r="J30" s="10">
        <v>0.5</v>
      </c>
      <c r="K30" s="10"/>
      <c r="L30" s="10">
        <v>0.5</v>
      </c>
    </row>
    <row r="31" spans="1:13" x14ac:dyDescent="0.2">
      <c r="A31" s="4" t="s">
        <v>193</v>
      </c>
      <c r="D31" s="6" t="s">
        <v>16</v>
      </c>
      <c r="F31" s="67">
        <v>0.05</v>
      </c>
      <c r="G31" s="10"/>
      <c r="H31" s="10">
        <v>0.05</v>
      </c>
      <c r="I31" s="10"/>
      <c r="J31" s="10">
        <v>0.05</v>
      </c>
      <c r="K31" s="10"/>
      <c r="L31" s="10">
        <v>0.05</v>
      </c>
    </row>
    <row r="32" spans="1:13" x14ac:dyDescent="0.2">
      <c r="F32" s="67"/>
      <c r="G32" s="10"/>
      <c r="H32" s="10"/>
      <c r="I32" s="10"/>
      <c r="J32" s="10"/>
      <c r="K32" s="10"/>
    </row>
    <row r="33" spans="1:12" x14ac:dyDescent="0.2">
      <c r="A33" s="4" t="s">
        <v>194</v>
      </c>
      <c r="B33" s="70" t="s">
        <v>195</v>
      </c>
      <c r="F33" s="10"/>
      <c r="G33" s="10"/>
      <c r="H33" s="10"/>
      <c r="I33" s="10"/>
      <c r="J33" s="10"/>
      <c r="K33" s="10"/>
    </row>
    <row r="34" spans="1:12" x14ac:dyDescent="0.2">
      <c r="A34" s="4" t="s">
        <v>196</v>
      </c>
      <c r="B34" s="4" t="s">
        <v>197</v>
      </c>
      <c r="F34" s="4"/>
      <c r="H34" s="4"/>
      <c r="J34" s="4"/>
    </row>
    <row r="35" spans="1:12" x14ac:dyDescent="0.2">
      <c r="A35" s="4" t="s">
        <v>189</v>
      </c>
      <c r="B35" s="4" t="s">
        <v>198</v>
      </c>
      <c r="D35" s="6" t="s">
        <v>23</v>
      </c>
      <c r="E35" s="6">
        <v>5</v>
      </c>
      <c r="F35" s="6" t="s">
        <v>184</v>
      </c>
      <c r="G35" s="6" t="s">
        <v>185</v>
      </c>
      <c r="H35" s="6" t="s">
        <v>186</v>
      </c>
      <c r="I35" s="6" t="s">
        <v>199</v>
      </c>
      <c r="J35" s="6" t="s">
        <v>200</v>
      </c>
      <c r="K35" s="6" t="s">
        <v>201</v>
      </c>
    </row>
    <row r="36" spans="1:12" s="6" customFormat="1" x14ac:dyDescent="0.2">
      <c r="A36" s="4"/>
      <c r="B36" s="4"/>
      <c r="C36" s="4"/>
      <c r="D36" s="6" t="s">
        <v>21</v>
      </c>
      <c r="E36" s="4"/>
      <c r="F36" s="71">
        <v>0.2</v>
      </c>
      <c r="G36" s="71">
        <v>0.32</v>
      </c>
      <c r="H36" s="71">
        <v>0.192</v>
      </c>
      <c r="I36" s="71">
        <v>0.1152</v>
      </c>
      <c r="J36" s="71">
        <v>0.1152</v>
      </c>
      <c r="K36" s="71">
        <v>5.7599999999999998E-2</v>
      </c>
      <c r="L36" s="4"/>
    </row>
    <row r="37" spans="1:12" x14ac:dyDescent="0.2">
      <c r="A37" s="6"/>
      <c r="B37" s="6" t="s">
        <v>202</v>
      </c>
      <c r="C37" s="6"/>
      <c r="D37" s="6" t="s">
        <v>23</v>
      </c>
      <c r="E37" s="6">
        <v>15</v>
      </c>
      <c r="F37" s="6" t="s">
        <v>184</v>
      </c>
      <c r="G37" s="6" t="s">
        <v>185</v>
      </c>
      <c r="H37" s="6" t="s">
        <v>186</v>
      </c>
      <c r="I37" s="6" t="s">
        <v>199</v>
      </c>
      <c r="J37" s="6" t="s">
        <v>200</v>
      </c>
      <c r="K37" s="6" t="s">
        <v>201</v>
      </c>
      <c r="L37" s="6"/>
    </row>
    <row r="38" spans="1:12" x14ac:dyDescent="0.2">
      <c r="D38" s="4"/>
      <c r="F38" s="14">
        <v>0.05</v>
      </c>
      <c r="G38" s="14">
        <v>9.5000000000000001E-2</v>
      </c>
      <c r="H38" s="14">
        <v>8.5500000000000007E-2</v>
      </c>
      <c r="I38" s="14">
        <v>7.6999999999999999E-2</v>
      </c>
      <c r="J38" s="14">
        <v>6.93E-2</v>
      </c>
      <c r="K38" s="14">
        <v>6.2300000000000001E-2</v>
      </c>
    </row>
    <row r="39" spans="1:12" x14ac:dyDescent="0.2">
      <c r="F39" s="6" t="s">
        <v>203</v>
      </c>
      <c r="G39" s="6" t="s">
        <v>204</v>
      </c>
      <c r="H39" s="6" t="s">
        <v>205</v>
      </c>
      <c r="I39" s="6" t="s">
        <v>206</v>
      </c>
      <c r="J39" s="6" t="s">
        <v>207</v>
      </c>
      <c r="K39" s="6" t="s">
        <v>208</v>
      </c>
    </row>
    <row r="40" spans="1:12" x14ac:dyDescent="0.2">
      <c r="F40" s="14">
        <v>5.91E-2</v>
      </c>
      <c r="G40" s="14">
        <v>5.8999999999999997E-2</v>
      </c>
      <c r="H40" s="14">
        <v>5.91E-2</v>
      </c>
      <c r="I40" s="14">
        <v>5.8999999999999997E-2</v>
      </c>
      <c r="J40" s="14">
        <v>5.91E-2</v>
      </c>
      <c r="K40" s="14">
        <v>2.9499999999999998E-2</v>
      </c>
    </row>
    <row r="41" spans="1:12" x14ac:dyDescent="0.2">
      <c r="A41" s="4" t="s">
        <v>21</v>
      </c>
      <c r="B41" s="4" t="s">
        <v>21</v>
      </c>
      <c r="C41" s="4" t="s">
        <v>21</v>
      </c>
      <c r="D41" s="4" t="s">
        <v>21</v>
      </c>
      <c r="E41" s="4" t="s">
        <v>21</v>
      </c>
      <c r="F41" s="4" t="s">
        <v>21</v>
      </c>
      <c r="G41" s="4" t="s">
        <v>21</v>
      </c>
      <c r="H41" s="4" t="s">
        <v>21</v>
      </c>
      <c r="I41" s="4" t="s">
        <v>21</v>
      </c>
    </row>
    <row r="42" spans="1:12" x14ac:dyDescent="0.2">
      <c r="A42" s="4" t="s">
        <v>21</v>
      </c>
      <c r="D42" s="4"/>
      <c r="F42" s="4"/>
      <c r="H42" s="4"/>
      <c r="J42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 LD</vt:lpstr>
      <vt:lpstr>Schedule LD</vt:lpstr>
      <vt:lpstr>Residual</vt:lpstr>
      <vt:lpstr>CCGT Model </vt:lpstr>
      <vt:lpstr>Case Study Base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Kelly</dc:creator>
  <cp:lastModifiedBy>Hoyos, Helen</cp:lastModifiedBy>
  <dcterms:created xsi:type="dcterms:W3CDTF">2025-01-20T21:10:47Z</dcterms:created>
  <dcterms:modified xsi:type="dcterms:W3CDTF">2025-04-07T22:41:00Z</dcterms:modified>
</cp:coreProperties>
</file>